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CED880AE-AC70-4E03-B00A-7EE6B856B6FF}" xr6:coauthVersionLast="47" xr6:coauthVersionMax="47" xr10:uidLastSave="{00000000-0000-0000-0000-000000000000}"/>
  <bookViews>
    <workbookView xWindow="-120" yWindow="-120" windowWidth="29040" windowHeight="15840" xr2:uid="{E64F226E-974C-407F-9EBE-0BD2CE5D4D2B}"/>
  </bookViews>
  <sheets>
    <sheet name="Calculator" sheetId="1" r:id="rId1"/>
    <sheet name="E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13" i="1" s="1"/>
  <c r="B23" i="2"/>
  <c r="B22" i="2"/>
  <c r="C17" i="2"/>
  <c r="D17" i="2"/>
  <c r="E17" i="2"/>
  <c r="B17" i="2"/>
  <c r="C16" i="2"/>
  <c r="D16" i="2"/>
  <c r="E16" i="2"/>
  <c r="B16" i="2"/>
  <c r="E13" i="2"/>
  <c r="D13" i="2"/>
  <c r="C13" i="2"/>
  <c r="B13" i="2"/>
  <c r="B10" i="1"/>
  <c r="B12" i="1" l="1"/>
  <c r="B9" i="1"/>
  <c r="B11" i="1"/>
  <c r="B19" i="2"/>
  <c r="C15" i="2" l="1"/>
  <c r="D15" i="2"/>
  <c r="B15" i="2"/>
  <c r="E15" i="2"/>
</calcChain>
</file>

<file path=xl/sharedStrings.xml><?xml version="1.0" encoding="utf-8"?>
<sst xmlns="http://schemas.openxmlformats.org/spreadsheetml/2006/main" count="43" uniqueCount="43">
  <si>
    <t>x</t>
  </si>
  <si>
    <t>Exactly x:</t>
  </si>
  <si>
    <t>Less Than x:</t>
  </si>
  <si>
    <t>At Most X:</t>
  </si>
  <si>
    <t>At Least X:</t>
  </si>
  <si>
    <t>More Than X:</t>
  </si>
  <si>
    <t>Number of Trials (n):</t>
  </si>
  <si>
    <t>Number of Successes (x):</t>
  </si>
  <si>
    <t>Probability of Success (p):</t>
  </si>
  <si>
    <t>Binomial</t>
  </si>
  <si>
    <t>Equation:</t>
  </si>
  <si>
    <t>P(X=x)=nCx*p^(x)*(1−p)^(n−x)</t>
  </si>
  <si>
    <t xml:space="preserve">Z-Score: </t>
  </si>
  <si>
    <t>z=(x-mean)/standard dev</t>
  </si>
  <si>
    <t>Expected Value Formula:</t>
  </si>
  <si>
    <t>E(X)=μ=∑[xi⋅P(X=xi)]</t>
  </si>
  <si>
    <t>where xi is the ith value of the random variable X.</t>
  </si>
  <si>
    <t>P(X=x)</t>
  </si>
  <si>
    <t>Outcomes</t>
  </si>
  <si>
    <t>Ace of Hearts</t>
  </si>
  <si>
    <t>Any Other Ace</t>
  </si>
  <si>
    <t>Any Other Heart</t>
  </si>
  <si>
    <t>Any Other Card</t>
  </si>
  <si>
    <t xml:space="preserve"> =1/52</t>
  </si>
  <si>
    <t xml:space="preserve"> =3/52</t>
  </si>
  <si>
    <t xml:space="preserve"> =12/52</t>
  </si>
  <si>
    <t xml:space="preserve"> =36/52</t>
  </si>
  <si>
    <t>P(X=x) as Fraction</t>
  </si>
  <si>
    <t>Expected Value (EV):</t>
  </si>
  <si>
    <t>Formula Used:</t>
  </si>
  <si>
    <t xml:space="preserve"> =SUMPRODUCT(B7:E7,B8:E8)</t>
  </si>
  <si>
    <t>Variance for a Discrete Probability Distribution:</t>
  </si>
  <si>
    <r>
      <t>σ</t>
    </r>
    <r>
      <rPr>
        <sz val="10"/>
        <color rgb="FF4D4D4D"/>
        <rFont val="STIXMathJax_Main"/>
      </rPr>
      <t>2</t>
    </r>
    <r>
      <rPr>
        <sz val="14"/>
        <color rgb="FF4D4D4D"/>
        <rFont val="STIXMathJax_Main"/>
      </rPr>
      <t>=</t>
    </r>
    <r>
      <rPr>
        <sz val="14"/>
        <color rgb="FF4D4D4D"/>
        <rFont val="STIXMathJax_Size1"/>
      </rPr>
      <t>∑[</t>
    </r>
    <r>
      <rPr>
        <sz val="14"/>
        <color rgb="FF4D4D4D"/>
        <rFont val="STIXMathJax_Main-italic"/>
      </rPr>
      <t>x</t>
    </r>
    <r>
      <rPr>
        <sz val="10"/>
        <color rgb="FF4D4D4D"/>
        <rFont val="STIXMathJax_Main-italic"/>
      </rPr>
      <t>i</t>
    </r>
    <r>
      <rPr>
        <sz val="10"/>
        <color rgb="FF4D4D4D"/>
        <rFont val="STIXMathJax_Main"/>
      </rPr>
      <t>2</t>
    </r>
    <r>
      <rPr>
        <sz val="14"/>
        <color rgb="FF4D4D4D"/>
        <rFont val="STIXMathJax_Main"/>
      </rPr>
      <t>⋅</t>
    </r>
    <r>
      <rPr>
        <sz val="14"/>
        <color rgb="FF4D4D4D"/>
        <rFont val="STIXMathJax_Main-italic"/>
      </rPr>
      <t>P</t>
    </r>
    <r>
      <rPr>
        <sz val="14"/>
        <color rgb="FF4D4D4D"/>
        <rFont val="STIXMathJax_Main"/>
      </rPr>
      <t>(</t>
    </r>
    <r>
      <rPr>
        <sz val="14"/>
        <color rgb="FF4D4D4D"/>
        <rFont val="STIXMathJax_Main-italic"/>
      </rPr>
      <t>X</t>
    </r>
    <r>
      <rPr>
        <sz val="14"/>
        <color rgb="FF4D4D4D"/>
        <rFont val="STIXMathJax_Main"/>
      </rPr>
      <t>=</t>
    </r>
    <r>
      <rPr>
        <sz val="14"/>
        <color rgb="FF4D4D4D"/>
        <rFont val="STIXMathJax_Main-italic"/>
      </rPr>
      <t>x</t>
    </r>
    <r>
      <rPr>
        <sz val="10"/>
        <color rgb="FF4D4D4D"/>
        <rFont val="STIXMathJax_Main-italic"/>
      </rPr>
      <t>i</t>
    </r>
    <r>
      <rPr>
        <sz val="14"/>
        <color rgb="FF4D4D4D"/>
        <rFont val="STIXMathJax_Main"/>
      </rPr>
      <t>)</t>
    </r>
    <r>
      <rPr>
        <sz val="14"/>
        <color rgb="FF4D4D4D"/>
        <rFont val="STIXMathJax_Size1"/>
      </rPr>
      <t>]</t>
    </r>
    <r>
      <rPr>
        <sz val="14"/>
        <color rgb="FF4D4D4D"/>
        <rFont val="STIXMathJax_Main"/>
      </rPr>
      <t>−</t>
    </r>
    <r>
      <rPr>
        <sz val="14"/>
        <color rgb="FF4D4D4D"/>
        <rFont val="STIXMathJax_Main-italic"/>
      </rPr>
      <t>μ</t>
    </r>
    <r>
      <rPr>
        <sz val="10"/>
        <color rgb="FF4D4D4D"/>
        <rFont val="STIXMathJax_Main"/>
      </rPr>
      <t>2</t>
    </r>
  </si>
  <si>
    <t>=∑[(xi−μ)2⋅P(X=xi)]</t>
  </si>
  <si>
    <t>Standard Deviation for a Discrete Probability Distribution:</t>
  </si>
  <si>
    <t>σ=sqrt(σ2)</t>
  </si>
  <si>
    <t>x-EV</t>
  </si>
  <si>
    <t>(x-EV)^2</t>
  </si>
  <si>
    <t>(x-EV)^2 * P(X=x)</t>
  </si>
  <si>
    <t>Variance:</t>
  </si>
  <si>
    <t>Standard Deviation:</t>
  </si>
  <si>
    <t xml:space="preserve"> =SUM(B17:E17)</t>
  </si>
  <si>
    <t xml:space="preserve"> =SQRT(B22)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</si>
</sst>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rgb="FF4D4D4D"/>
      <name val="STIXMathJax_Main-italic"/>
    </font>
    <font>
      <sz val="14"/>
      <color rgb="FF4D4D4D"/>
      <name val="STIXMathJax_Main"/>
    </font>
    <font>
      <sz val="10"/>
      <color rgb="FF4D4D4D"/>
      <name val="STIXMathJax_Main-italic"/>
    </font>
    <font>
      <sz val="10"/>
      <color rgb="FF4D4D4D"/>
      <name val="STIXMathJax_Main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4D4D4D"/>
      <name val="STIXMathJax_Size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/>
    <xf numFmtId="0" fontId="1" fillId="4" borderId="0" xfId="0" applyFont="1" applyFill="1"/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/>
    <xf numFmtId="0" fontId="2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2180-9D24-4F43-8852-73AB68DF87F5}">
  <dimension ref="A1:G13"/>
  <sheetViews>
    <sheetView tabSelected="1" workbookViewId="0">
      <selection activeCell="E16" sqref="E16"/>
    </sheetView>
  </sheetViews>
  <sheetFormatPr defaultRowHeight="15"/>
  <cols>
    <col min="1" max="1" width="27.140625" customWidth="1"/>
    <col min="2" max="2" width="18.42578125" customWidth="1"/>
  </cols>
  <sheetData>
    <row r="1" spans="1:7" ht="21">
      <c r="A1" s="26" t="s">
        <v>9</v>
      </c>
      <c r="B1" s="26"/>
      <c r="C1" s="5"/>
      <c r="D1" s="20" t="s">
        <v>10</v>
      </c>
      <c r="E1" s="27" t="s">
        <v>11</v>
      </c>
      <c r="F1" s="27"/>
      <c r="G1" s="27"/>
    </row>
    <row r="2" spans="1:7">
      <c r="A2" s="1" t="s">
        <v>7</v>
      </c>
      <c r="B2" s="2">
        <v>26</v>
      </c>
    </row>
    <row r="3" spans="1:7">
      <c r="A3" s="1" t="s">
        <v>6</v>
      </c>
      <c r="B3" s="2">
        <v>763000</v>
      </c>
      <c r="D3" s="20" t="s">
        <v>12</v>
      </c>
      <c r="E3" s="27" t="s">
        <v>13</v>
      </c>
      <c r="F3" s="27"/>
      <c r="G3" s="27"/>
    </row>
    <row r="4" spans="1:7">
      <c r="A4" s="1" t="s">
        <v>8</v>
      </c>
      <c r="B4" s="2">
        <f>1/27000</f>
        <v>3.7037037037037037E-5</v>
      </c>
    </row>
    <row r="9" spans="1:7">
      <c r="A9" s="4" t="s">
        <v>1</v>
      </c>
      <c r="B9" s="3">
        <f>_xlfn.BINOM.DIST(B2,B3,B4,0)</f>
        <v>7.1076605729156597E-2</v>
      </c>
    </row>
    <row r="10" spans="1:7">
      <c r="A10" s="4" t="s">
        <v>2</v>
      </c>
      <c r="B10" s="3">
        <f>_xlfn.BINOM.DIST(B2-1,B3,B4,1)</f>
        <v>0.31000341244821339</v>
      </c>
    </row>
    <row r="11" spans="1:7">
      <c r="A11" s="4" t="s">
        <v>3</v>
      </c>
      <c r="B11" s="3">
        <f>_xlfn.BINOM.DIST(B2,B3,B4,1)</f>
        <v>0.38108001817736986</v>
      </c>
    </row>
    <row r="12" spans="1:7">
      <c r="A12" s="4" t="s">
        <v>4</v>
      </c>
      <c r="B12" s="3">
        <f>1-_xlfn.BINOM.DIST(B2-1,B3,B4,1)</f>
        <v>0.68999658755178661</v>
      </c>
    </row>
    <row r="13" spans="1:7">
      <c r="A13" s="4" t="s">
        <v>5</v>
      </c>
      <c r="B13" s="3">
        <f>1-_xlfn.BINOM.DIST(B2,B3,B4,1)</f>
        <v>0.61891998182263008</v>
      </c>
    </row>
  </sheetData>
  <mergeCells count="3">
    <mergeCell ref="A1:B1"/>
    <mergeCell ref="E1:G1"/>
    <mergeCell ref="E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AEC9-4E8F-4399-BB78-E1E48CA3AEB1}">
  <dimension ref="A1:F23"/>
  <sheetViews>
    <sheetView workbookViewId="0">
      <selection activeCell="G22" sqref="G22"/>
    </sheetView>
  </sheetViews>
  <sheetFormatPr defaultRowHeight="15"/>
  <cols>
    <col min="1" max="1" width="19.85546875" bestFit="1" customWidth="1"/>
    <col min="2" max="2" width="14.42578125" customWidth="1"/>
    <col min="3" max="3" width="15.140625" customWidth="1"/>
    <col min="4" max="4" width="16.5703125" customWidth="1"/>
    <col min="5" max="5" width="16.7109375" customWidth="1"/>
  </cols>
  <sheetData>
    <row r="1" spans="1:6" ht="18.75">
      <c r="A1" s="28" t="s">
        <v>14</v>
      </c>
      <c r="B1" s="28"/>
      <c r="C1" s="28"/>
      <c r="D1" s="28"/>
      <c r="E1" s="28"/>
      <c r="F1" s="28"/>
    </row>
    <row r="2" spans="1:6">
      <c r="A2" s="27" t="s">
        <v>15</v>
      </c>
      <c r="B2" s="27"/>
      <c r="C2" s="27"/>
      <c r="D2" s="27"/>
      <c r="E2" s="27"/>
      <c r="F2" s="27"/>
    </row>
    <row r="3" spans="1:6" ht="15" customHeight="1">
      <c r="A3" s="29" t="s">
        <v>16</v>
      </c>
      <c r="B3" s="29"/>
      <c r="C3" s="29"/>
      <c r="D3" s="29"/>
      <c r="E3" s="29"/>
      <c r="F3" s="29"/>
    </row>
    <row r="5" spans="1:6" ht="18.75">
      <c r="A5" s="32" t="s">
        <v>31</v>
      </c>
      <c r="B5" s="33"/>
      <c r="C5" s="33"/>
      <c r="D5" s="33"/>
      <c r="E5" s="33"/>
      <c r="F5" s="33"/>
    </row>
    <row r="6" spans="1:6" ht="18">
      <c r="A6" s="34" t="s">
        <v>32</v>
      </c>
      <c r="B6" s="34"/>
      <c r="C6" s="34"/>
      <c r="D6" s="34"/>
      <c r="E6" s="34"/>
      <c r="F6" s="34"/>
    </row>
    <row r="7" spans="1:6" ht="18.75">
      <c r="A7" s="33" t="s">
        <v>33</v>
      </c>
      <c r="B7" s="33"/>
      <c r="C7" s="33"/>
      <c r="D7" s="33"/>
      <c r="E7" s="33"/>
      <c r="F7" s="33"/>
    </row>
    <row r="8" spans="1:6" ht="18.75">
      <c r="A8" s="32" t="s">
        <v>34</v>
      </c>
      <c r="B8" s="33"/>
      <c r="C8" s="33"/>
      <c r="D8" s="33"/>
      <c r="E8" s="33"/>
      <c r="F8" s="33"/>
    </row>
    <row r="9" spans="1:6" ht="18.75">
      <c r="A9" s="33" t="s">
        <v>35</v>
      </c>
      <c r="B9" s="33"/>
      <c r="C9" s="33"/>
      <c r="D9" s="33"/>
      <c r="E9" s="33"/>
      <c r="F9" s="33"/>
    </row>
    <row r="10" spans="1:6" ht="15.75" thickBot="1"/>
    <row r="11" spans="1:6" ht="15.75" thickBot="1">
      <c r="A11" s="10" t="s">
        <v>18</v>
      </c>
      <c r="B11" s="10" t="s">
        <v>19</v>
      </c>
      <c r="C11" s="10" t="s">
        <v>20</v>
      </c>
      <c r="D11" s="10" t="s">
        <v>21</v>
      </c>
      <c r="E11" s="9" t="s">
        <v>22</v>
      </c>
    </row>
    <row r="12" spans="1:6" ht="15.75" thickBot="1">
      <c r="A12" s="22" t="s">
        <v>0</v>
      </c>
      <c r="B12" s="11">
        <v>95</v>
      </c>
      <c r="C12" s="12">
        <v>5</v>
      </c>
      <c r="D12" s="12">
        <v>0</v>
      </c>
      <c r="E12" s="13">
        <v>-5</v>
      </c>
    </row>
    <row r="13" spans="1:6" ht="15.75" thickBot="1">
      <c r="A13" s="8" t="s">
        <v>17</v>
      </c>
      <c r="B13" s="14">
        <f>1/52</f>
        <v>1.9230769230769232E-2</v>
      </c>
      <c r="C13">
        <f>3/52</f>
        <v>5.7692307692307696E-2</v>
      </c>
      <c r="D13">
        <f>12/52</f>
        <v>0.23076923076923078</v>
      </c>
      <c r="E13" s="15">
        <f>36/52</f>
        <v>0.69230769230769229</v>
      </c>
    </row>
    <row r="14" spans="1:6" ht="15.75" thickBot="1">
      <c r="A14" s="8" t="s">
        <v>27</v>
      </c>
      <c r="B14" s="23" t="s">
        <v>23</v>
      </c>
      <c r="C14" s="21" t="s">
        <v>24</v>
      </c>
      <c r="D14" s="21" t="s">
        <v>25</v>
      </c>
      <c r="E14" s="24" t="s">
        <v>26</v>
      </c>
    </row>
    <row r="15" spans="1:6" ht="15.75" thickBot="1">
      <c r="A15" s="8" t="s">
        <v>36</v>
      </c>
      <c r="B15" s="23">
        <f>B12-$B19</f>
        <v>96.34615384615384</v>
      </c>
      <c r="C15" s="21">
        <f t="shared" ref="C15:E15" si="0">C12-$B19</f>
        <v>6.3461538461538467</v>
      </c>
      <c r="D15" s="21">
        <f t="shared" si="0"/>
        <v>1.3461538461538463</v>
      </c>
      <c r="E15" s="24">
        <f t="shared" si="0"/>
        <v>-3.6538461538461537</v>
      </c>
    </row>
    <row r="16" spans="1:6" ht="15.75" thickBot="1">
      <c r="A16" s="8" t="s">
        <v>37</v>
      </c>
      <c r="B16" s="23">
        <f>B15^2</f>
        <v>9282.5813609467441</v>
      </c>
      <c r="C16" s="21">
        <f t="shared" ref="C16:E16" si="1">C15^2</f>
        <v>40.273668639053263</v>
      </c>
      <c r="D16" s="21">
        <f t="shared" si="1"/>
        <v>1.8121301775147931</v>
      </c>
      <c r="E16" s="24">
        <f t="shared" si="1"/>
        <v>13.35059171597633</v>
      </c>
    </row>
    <row r="17" spans="1:5" ht="15.75" thickBot="1">
      <c r="A17" s="10" t="s">
        <v>38</v>
      </c>
      <c r="B17" s="16">
        <f>B16*B13</f>
        <v>178.51118001820663</v>
      </c>
      <c r="C17" s="17">
        <f t="shared" ref="C17:E17" si="2">C16*C13</f>
        <v>2.3234808830223037</v>
      </c>
      <c r="D17" s="17">
        <f t="shared" si="2"/>
        <v>0.41818388711879845</v>
      </c>
      <c r="E17" s="18">
        <f t="shared" si="2"/>
        <v>9.242717341829767</v>
      </c>
    </row>
    <row r="18" spans="1:5" ht="15.75" thickBot="1"/>
    <row r="19" spans="1:5" ht="15.75" thickBot="1">
      <c r="A19" s="6" t="s">
        <v>28</v>
      </c>
      <c r="B19" s="19">
        <f>SUMPRODUCT(B12:E12,B13:E13)</f>
        <v>-1.3461538461538463</v>
      </c>
    </row>
    <row r="20" spans="1:5" ht="15.75" thickBot="1">
      <c r="A20" s="7" t="s">
        <v>29</v>
      </c>
      <c r="B20" s="30" t="s">
        <v>30</v>
      </c>
      <c r="C20" s="31"/>
    </row>
    <row r="21" spans="1:5" ht="15.75" thickBot="1"/>
    <row r="22" spans="1:5" ht="15.75" thickBot="1">
      <c r="A22" s="6" t="s">
        <v>39</v>
      </c>
      <c r="B22" s="19">
        <f>SUM(B17:E17)</f>
        <v>190.49556213017752</v>
      </c>
      <c r="C22" s="19" t="s">
        <v>41</v>
      </c>
    </row>
    <row r="23" spans="1:5" ht="15.75" thickBot="1">
      <c r="A23" s="7" t="s">
        <v>40</v>
      </c>
      <c r="B23" s="25">
        <f>SQRT(B22)</f>
        <v>13.802012973844704</v>
      </c>
      <c r="C23" s="25" t="s">
        <v>42</v>
      </c>
    </row>
  </sheetData>
  <mergeCells count="9">
    <mergeCell ref="A1:F1"/>
    <mergeCell ref="A2:F2"/>
    <mergeCell ref="A3:F3"/>
    <mergeCell ref="B20:C20"/>
    <mergeCell ref="A5:F5"/>
    <mergeCell ref="A7:F7"/>
    <mergeCell ref="A6:F6"/>
    <mergeCell ref="A8:F8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 eckert</dc:creator>
  <cp:lastModifiedBy>wade eckert</cp:lastModifiedBy>
  <dcterms:created xsi:type="dcterms:W3CDTF">2025-04-03T01:23:48Z</dcterms:created>
  <dcterms:modified xsi:type="dcterms:W3CDTF">2025-04-09T10:34:11Z</dcterms:modified>
</cp:coreProperties>
</file>