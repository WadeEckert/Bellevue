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a0534719079248d/Desktop/Spring 2025 Term/Statistics/Unit Projects/Unit 4 Project/"/>
    </mc:Choice>
  </mc:AlternateContent>
  <xr:revisionPtr revIDLastSave="137" documentId="8_{F7B524DA-B38A-4A7C-B56D-85AA6A23E674}" xr6:coauthVersionLast="47" xr6:coauthVersionMax="47" xr10:uidLastSave="{CB9FCA1D-E8A7-44A3-88B3-8C883D2D12C3}"/>
  <bookViews>
    <workbookView xWindow="14400" yWindow="0" windowWidth="14400" windowHeight="15600" tabRatio="999" activeTab="4" xr2:uid="{47A15E7B-7C16-4676-90D5-750FA9501E03}"/>
  </bookViews>
  <sheets>
    <sheet name="Chapter 10 - Z-Test" sheetId="3" r:id="rId1"/>
    <sheet name="Chapter 10 - T-Test" sheetId="7" r:id="rId2"/>
    <sheet name="Chapter 11 - 2-Sample T-Test" sheetId="8" r:id="rId3"/>
    <sheet name="Chapter 11 - 2-Sample Z-Test" sheetId="10" r:id="rId4"/>
    <sheet name="Chapter 12 - Regression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10" l="1"/>
  <c r="E29" i="10"/>
  <c r="G26" i="10"/>
  <c r="G24" i="10"/>
  <c r="G22" i="10"/>
  <c r="G20" i="10"/>
  <c r="G18" i="10"/>
  <c r="G17" i="10"/>
  <c r="G15" i="10"/>
  <c r="G13" i="10"/>
  <c r="G12" i="10"/>
  <c r="G9" i="10"/>
  <c r="G8" i="10"/>
  <c r="G27" i="8"/>
  <c r="E27" i="8"/>
  <c r="G24" i="8"/>
  <c r="G22" i="8"/>
  <c r="G20" i="8"/>
  <c r="G18" i="8"/>
  <c r="G16" i="8"/>
  <c r="G14" i="8"/>
  <c r="G13" i="8"/>
  <c r="G22" i="7" l="1"/>
  <c r="E22" i="7"/>
  <c r="G19" i="7"/>
  <c r="G15" i="7"/>
  <c r="G13" i="7"/>
  <c r="G17" i="7"/>
  <c r="G11" i="7"/>
  <c r="G4" i="7"/>
  <c r="G22" i="3"/>
  <c r="E22" i="3"/>
  <c r="G19" i="3"/>
  <c r="G15" i="3"/>
  <c r="G17" i="3"/>
  <c r="G13" i="3"/>
  <c r="G11" i="3"/>
  <c r="G4" i="10" l="1"/>
  <c r="G4" i="8"/>
  <c r="G4" i="3"/>
</calcChain>
</file>

<file path=xl/sharedStrings.xml><?xml version="1.0" encoding="utf-8"?>
<sst xmlns="http://schemas.openxmlformats.org/spreadsheetml/2006/main" count="243" uniqueCount="150">
  <si>
    <t>1 pt</t>
  </si>
  <si>
    <t>Sample Size (n)</t>
  </si>
  <si>
    <t>Sample Mean (x-bar)</t>
  </si>
  <si>
    <t>Output</t>
  </si>
  <si>
    <t>Input</t>
  </si>
  <si>
    <t>Question 1</t>
  </si>
  <si>
    <t>Critical Value</t>
  </si>
  <si>
    <t>Margin of Error</t>
  </si>
  <si>
    <t xml:space="preserve">Confidence Interval </t>
  </si>
  <si>
    <t>Lower Limit</t>
  </si>
  <si>
    <t>Upper Limit</t>
  </si>
  <si>
    <t>Standard Error</t>
  </si>
  <si>
    <t>Null Hypothesis</t>
  </si>
  <si>
    <t>µ</t>
  </si>
  <si>
    <t>=</t>
  </si>
  <si>
    <t>Alternative Hypothesis</t>
  </si>
  <si>
    <r>
      <t>Population Standard Deviation (</t>
    </r>
    <r>
      <rPr>
        <sz val="11"/>
        <color theme="1"/>
        <rFont val="Calibri"/>
        <family val="2"/>
      </rPr>
      <t>σ)</t>
    </r>
  </si>
  <si>
    <t>z-Score</t>
  </si>
  <si>
    <t>p-value</t>
  </si>
  <si>
    <t>&lt;</t>
  </si>
  <si>
    <t>&gt;</t>
  </si>
  <si>
    <t>≠</t>
  </si>
  <si>
    <t>(select from drop down)       µ</t>
  </si>
  <si>
    <t>Alpha-level</t>
  </si>
  <si>
    <t>Chapter 10 Z-Test</t>
  </si>
  <si>
    <t>Chapter 10 T-Test</t>
  </si>
  <si>
    <t>Proportion 1 x (Last Year's Data)</t>
  </si>
  <si>
    <t>Proportion 1 n (Last Year's Data)</t>
  </si>
  <si>
    <t>Proportion 1 p-hat</t>
  </si>
  <si>
    <t>Proportion 2 x (This Year's Data)</t>
  </si>
  <si>
    <t>Proportion 2 n (This Year's Data)</t>
  </si>
  <si>
    <t>Proportion 2 p-hat</t>
  </si>
  <si>
    <t>p-bar</t>
  </si>
  <si>
    <t>1-(p-bar)</t>
  </si>
  <si>
    <t>alpha-level</t>
  </si>
  <si>
    <t>Point Estimate</t>
  </si>
  <si>
    <t>Chapter 11 - 2-Sample Test</t>
  </si>
  <si>
    <t>Propoportion 1 1-(p-hat)</t>
  </si>
  <si>
    <t>Proportion 2 1-(p-hat)</t>
  </si>
  <si>
    <t>Name</t>
  </si>
  <si>
    <t>Drop (ft)</t>
  </si>
  <si>
    <t>Speed (mph)</t>
  </si>
  <si>
    <t xml:space="preserve">Millennium Force </t>
  </si>
  <si>
    <t xml:space="preserve">Goliath </t>
  </si>
  <si>
    <t xml:space="preserve">Titan </t>
  </si>
  <si>
    <t xml:space="preserve">Phantom's Revenge </t>
  </si>
  <si>
    <t xml:space="preserve">Xcelerator </t>
  </si>
  <si>
    <t xml:space="preserve">Desperado </t>
  </si>
  <si>
    <t xml:space="preserve">HyperSonic XLC </t>
  </si>
  <si>
    <t xml:space="preserve">Nitro </t>
  </si>
  <si>
    <t xml:space="preserve">Son Of Beast </t>
  </si>
  <si>
    <t xml:space="preserve">Superman - Ride Of Steel </t>
  </si>
  <si>
    <t>X</t>
  </si>
  <si>
    <t xml:space="preserve">Mamba </t>
  </si>
  <si>
    <t xml:space="preserve">Steel Force </t>
  </si>
  <si>
    <t xml:space="preserve">Wild Thing </t>
  </si>
  <si>
    <t xml:space="preserve">Apollo's Chariot </t>
  </si>
  <si>
    <t xml:space="preserve">Raging Bull </t>
  </si>
  <si>
    <t xml:space="preserve">Rattler </t>
  </si>
  <si>
    <t xml:space="preserve">Magnum XL-200 </t>
  </si>
  <si>
    <t xml:space="preserve">Viper </t>
  </si>
  <si>
    <t>Volcano The Blast Coaster</t>
  </si>
  <si>
    <t xml:space="preserve">Great American Scream Machine </t>
  </si>
  <si>
    <t xml:space="preserve">Alpengeist </t>
  </si>
  <si>
    <t xml:space="preserve">Incredible Hulk </t>
  </si>
  <si>
    <t xml:space="preserve">Manhattan Express </t>
  </si>
  <si>
    <t xml:space="preserve">Boss </t>
  </si>
  <si>
    <t xml:space="preserve">American Eagle </t>
  </si>
  <si>
    <t xml:space="preserve">Wildfire </t>
  </si>
  <si>
    <t xml:space="preserve">Deja Vu </t>
  </si>
  <si>
    <t xml:space="preserve">Batman Knight Flight </t>
  </si>
  <si>
    <t xml:space="preserve">Hercules </t>
  </si>
  <si>
    <t xml:space="preserve">Kraken </t>
  </si>
  <si>
    <t xml:space="preserve">Mean Streak </t>
  </si>
  <si>
    <t xml:space="preserve">Medusa </t>
  </si>
  <si>
    <t xml:space="preserve">Orient Express </t>
  </si>
  <si>
    <t xml:space="preserve">Riddler's Revenge </t>
  </si>
  <si>
    <t xml:space="preserve">Steel Eel </t>
  </si>
  <si>
    <t xml:space="preserve">Texas Giant </t>
  </si>
  <si>
    <t xml:space="preserve">Beast </t>
  </si>
  <si>
    <t xml:space="preserve">Chang </t>
  </si>
  <si>
    <t xml:space="preserve">Scream! </t>
  </si>
  <si>
    <t xml:space="preserve">Tennessee Tornado </t>
  </si>
  <si>
    <t xml:space="preserve">Colossus </t>
  </si>
  <si>
    <t xml:space="preserve">Screamin' Eagle </t>
  </si>
  <si>
    <t xml:space="preserve">Hangman </t>
  </si>
  <si>
    <t xml:space="preserve">Hurricane </t>
  </si>
  <si>
    <t xml:space="preserve">Invertigo </t>
  </si>
  <si>
    <t xml:space="preserve">Iron Wolf </t>
  </si>
  <si>
    <t xml:space="preserve">Kong </t>
  </si>
  <si>
    <t xml:space="preserve">Mind Eraser </t>
  </si>
  <si>
    <t xml:space="preserve">Silver Bullet </t>
  </si>
  <si>
    <t xml:space="preserve">Starliner </t>
  </si>
  <si>
    <t xml:space="preserve">T2 </t>
  </si>
  <si>
    <t xml:space="preserve">Thunderbolt </t>
  </si>
  <si>
    <t xml:space="preserve">Timber Wolf </t>
  </si>
  <si>
    <t xml:space="preserve">Wild One </t>
  </si>
  <si>
    <t xml:space="preserve">Cheetah </t>
  </si>
  <si>
    <t xml:space="preserve">Cannon Ball </t>
  </si>
  <si>
    <t xml:space="preserve">Coaster Thrill Ride </t>
  </si>
  <si>
    <t xml:space="preserve">Comet </t>
  </si>
  <si>
    <t xml:space="preserve">New Mexico Rattler </t>
  </si>
  <si>
    <t xml:space="preserve">Corkscrew </t>
  </si>
  <si>
    <t xml:space="preserve">Afterburner </t>
  </si>
  <si>
    <t xml:space="preserve">Whizzer </t>
  </si>
  <si>
    <t xml:space="preserve">Canyon Blaster </t>
  </si>
  <si>
    <t xml:space="preserve">Blue Streak </t>
  </si>
  <si>
    <t xml:space="preserve">Steel Dragon 2000 </t>
  </si>
  <si>
    <t xml:space="preserve">Thunder Dolphin </t>
  </si>
  <si>
    <t xml:space="preserve">Oblivion </t>
  </si>
  <si>
    <t xml:space="preserve">Stunt Fall </t>
  </si>
  <si>
    <t xml:space="preserve">Hayabusa </t>
  </si>
  <si>
    <t xml:space="preserve">Top Gun </t>
  </si>
  <si>
    <t>n1</t>
  </si>
  <si>
    <t>SD1</t>
  </si>
  <si>
    <t>µ1 Line A</t>
  </si>
  <si>
    <t>µ1 Line B</t>
  </si>
  <si>
    <t>t-Score</t>
  </si>
  <si>
    <t>Degrees of Freedom</t>
  </si>
  <si>
    <t>t-score</t>
  </si>
  <si>
    <t>While these outputs aren't graded, they should be used as inputs for graded values below.</t>
  </si>
  <si>
    <t>While these outputs aren't graded, they should be used as inputs for the graded values below.</t>
  </si>
  <si>
    <t>Question 2</t>
  </si>
  <si>
    <t>Sample Standard Deviation (s)</t>
  </si>
  <si>
    <t>Question 3</t>
  </si>
  <si>
    <t>Question 4</t>
  </si>
  <si>
    <t>(enter hypothesized difference)     µ1-µ2</t>
  </si>
  <si>
    <t>(choose from drop down)     µ1-µ2</t>
  </si>
  <si>
    <t>While these outputs aren't graded, they should be used as inputs in the graded values below.</t>
  </si>
  <si>
    <t xml:space="preserve">Null Hypothesis </t>
  </si>
  <si>
    <t>(enter hypothesized difference)     p1-p2</t>
  </si>
  <si>
    <t>(choose from drop down)     p1-p2</t>
  </si>
  <si>
    <t>=G7/SQRT(G8)</t>
  </si>
  <si>
    <t>=(G6-G3)/(G7/SQRT(G8))</t>
  </si>
  <si>
    <t>=NORM.S.INV(1-G9)</t>
  </si>
  <si>
    <t>=1-NORM.S.DIST(G13,1)</t>
  </si>
  <si>
    <t>=G17*G11</t>
  </si>
  <si>
    <t>=(G6-G3)/G11</t>
  </si>
  <si>
    <t>=T.INV(1-G9,G8-1)</t>
  </si>
  <si>
    <t xml:space="preserve"> =SQRT(G7^2/G8+G10^2/G11)</t>
  </si>
  <si>
    <t xml:space="preserve"> =((G6-G9)-G3)/SQRT(G7^2/G8+G10^2/G11)</t>
  </si>
  <si>
    <t xml:space="preserve"> =T.DIST.2T(ABS(G18),G14)</t>
  </si>
  <si>
    <t xml:space="preserve"> =T.INV.2T(G12,G14)</t>
  </si>
  <si>
    <t xml:space="preserve"> =G22*SQRT(G7^2/G8+G10^2/G11)</t>
  </si>
  <si>
    <t xml:space="preserve"> =(G6+G10)/(G7+G11)</t>
  </si>
  <si>
    <t xml:space="preserve"> =1-G17</t>
  </si>
  <si>
    <t xml:space="preserve"> =((G8-G12)-G3)/SQRT((G17*G18)*((1/G7)+(1/G11)))</t>
  </si>
  <si>
    <t xml:space="preserve"> =NORM.S.DIST(G20,1)</t>
  </si>
  <si>
    <t xml:space="preserve"> =NORM.S.INV(G14)</t>
  </si>
  <si>
    <t>=ABS(G24)*SQRT(G8*G9/G7+G12*G13/G11)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</si>
</sst>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DashDot">
        <color indexed="64"/>
      </left>
      <right style="mediumDashDot">
        <color indexed="64"/>
      </right>
      <top style="mediumDashDot">
        <color indexed="64"/>
      </top>
      <bottom/>
      <diagonal/>
    </border>
    <border>
      <left style="mediumDashDot">
        <color indexed="64"/>
      </left>
      <right style="mediumDashDot">
        <color indexed="64"/>
      </right>
      <top/>
      <bottom/>
      <diagonal/>
    </border>
    <border>
      <left style="mediumDashDot">
        <color indexed="64"/>
      </left>
      <right style="mediumDashDot">
        <color indexed="64"/>
      </right>
      <top/>
      <bottom style="mediumDashDot">
        <color indexed="64"/>
      </bottom>
      <diagonal/>
    </border>
    <border>
      <left/>
      <right/>
      <top/>
      <bottom style="mediumDashDot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/>
    <xf numFmtId="164" fontId="0" fillId="0" borderId="3" xfId="0" applyNumberFormat="1" applyBorder="1" applyAlignment="1">
      <alignment horizontal="center"/>
    </xf>
    <xf numFmtId="164" fontId="0" fillId="2" borderId="3" xfId="0" applyNumberFormat="1" applyFill="1" applyBorder="1" applyAlignment="1" applyProtection="1">
      <alignment horizontal="center"/>
      <protection locked="0"/>
    </xf>
    <xf numFmtId="1" fontId="0" fillId="2" borderId="3" xfId="0" applyNumberFormat="1" applyFill="1" applyBorder="1" applyAlignment="1" applyProtection="1">
      <alignment horizontal="center"/>
      <protection locked="0"/>
    </xf>
    <xf numFmtId="0" fontId="0" fillId="0" borderId="8" xfId="0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2" borderId="7" xfId="0" applyNumberFormat="1" applyFill="1" applyBorder="1" applyAlignment="1" applyProtection="1">
      <alignment horizontal="center"/>
      <protection locked="0"/>
    </xf>
    <xf numFmtId="0" fontId="0" fillId="0" borderId="0" xfId="0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0" fillId="2" borderId="0" xfId="0" applyFill="1" applyAlignment="1" applyProtection="1">
      <alignment horizontal="center"/>
      <protection locked="0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3" xfId="0" applyBorder="1" applyAlignment="1" applyProtection="1">
      <alignment horizontal="center"/>
      <protection locked="0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0" fillId="2" borderId="1" xfId="0" applyNumberFormat="1" applyFill="1" applyBorder="1" applyAlignment="1" applyProtection="1">
      <alignment horizontal="center"/>
      <protection locked="0"/>
    </xf>
    <xf numFmtId="2" fontId="0" fillId="2" borderId="3" xfId="0" applyNumberFormat="1" applyFill="1" applyBorder="1" applyAlignment="1" applyProtection="1">
      <alignment horizontal="center"/>
      <protection locked="0"/>
    </xf>
    <xf numFmtId="164" fontId="0" fillId="0" borderId="3" xfId="0" applyNumberFormat="1" applyBorder="1" applyAlignment="1" applyProtection="1">
      <alignment horizontal="center"/>
      <protection locked="0"/>
    </xf>
    <xf numFmtId="2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2" fillId="0" borderId="4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49" fontId="0" fillId="2" borderId="0" xfId="0" applyNumberFormat="1" applyFill="1" applyAlignment="1" applyProtection="1">
      <alignment horizontal="center" vertical="center"/>
      <protection locked="0"/>
    </xf>
    <xf numFmtId="49" fontId="0" fillId="0" borderId="0" xfId="0" applyNumberFormat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164" fontId="0" fillId="2" borderId="6" xfId="0" applyNumberFormat="1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2" fontId="0" fillId="2" borderId="1" xfId="0" applyNumberFormat="1" applyFill="1" applyBorder="1" applyAlignment="1" applyProtection="1">
      <alignment horizontal="center" vertical="center"/>
      <protection locked="0"/>
    </xf>
    <xf numFmtId="2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2" borderId="3" xfId="0" applyNumberFormat="1" applyFill="1" applyBorder="1" applyAlignment="1" applyProtection="1">
      <alignment horizontal="center" vertical="center"/>
      <protection locked="0"/>
    </xf>
    <xf numFmtId="1" fontId="0" fillId="2" borderId="3" xfId="0" applyNumberFormat="1" applyFill="1" applyBorder="1" applyAlignment="1" applyProtection="1">
      <alignment horizontal="center" vertical="center"/>
      <protection locked="0"/>
    </xf>
    <xf numFmtId="164" fontId="0" fillId="2" borderId="3" xfId="0" applyNumberFormat="1" applyFill="1" applyBorder="1" applyAlignment="1" applyProtection="1">
      <alignment horizontal="center" vertical="center"/>
      <protection locked="0"/>
    </xf>
    <xf numFmtId="164" fontId="0" fillId="0" borderId="3" xfId="0" applyNumberFormat="1" applyBorder="1" applyAlignment="1" applyProtection="1">
      <alignment horizontal="center" vertical="center"/>
      <protection locked="0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 applyProtection="1">
      <alignment horizontal="center" vertical="center"/>
      <protection locked="0"/>
    </xf>
    <xf numFmtId="164" fontId="0" fillId="0" borderId="7" xfId="0" applyNumberFormat="1" applyBorder="1" applyAlignment="1">
      <alignment horizontal="center" vertical="center"/>
    </xf>
    <xf numFmtId="164" fontId="0" fillId="2" borderId="7" xfId="0" applyNumberFormat="1" applyFill="1" applyBorder="1" applyAlignment="1" applyProtection="1">
      <alignment horizontal="center" vertical="center"/>
      <protection locked="0"/>
    </xf>
    <xf numFmtId="165" fontId="0" fillId="2" borderId="3" xfId="0" applyNumberFormat="1" applyFill="1" applyBorder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1" fillId="0" borderId="0" xfId="0" applyFont="1"/>
    <xf numFmtId="0" fontId="0" fillId="0" borderId="0" xfId="0" applyAlignment="1">
      <alignment horizontal="center" vertical="top"/>
    </xf>
    <xf numFmtId="0" fontId="1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/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65" fontId="0" fillId="0" borderId="3" xfId="0" applyNumberFormat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0" fillId="0" borderId="9" xfId="0" applyBorder="1" applyAlignment="1">
      <alignment horizontal="center" vertical="center" textRotation="90"/>
    </xf>
    <xf numFmtId="0" fontId="0" fillId="0" borderId="10" xfId="0" applyBorder="1" applyAlignment="1">
      <alignment horizontal="center" vertical="center" textRotation="90"/>
    </xf>
    <xf numFmtId="0" fontId="0" fillId="0" borderId="11" xfId="0" applyBorder="1" applyAlignment="1">
      <alignment horizontal="center" vertical="center" textRotation="90"/>
    </xf>
    <xf numFmtId="0" fontId="1" fillId="0" borderId="1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Rollercoaster Speed vs. Drop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'Chapter 12 - Regression'!$C$1</c:f>
              <c:strCache>
                <c:ptCount val="1"/>
                <c:pt idx="0">
                  <c:v>Speed (mph)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441728195190555"/>
                  <c:y val="0.7587788778877887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'Chapter 12 - Regression'!$B$2:$B$76</c:f>
              <c:numCache>
                <c:formatCode>General</c:formatCode>
                <c:ptCount val="75"/>
                <c:pt idx="0">
                  <c:v>300</c:v>
                </c:pt>
                <c:pt idx="1">
                  <c:v>255</c:v>
                </c:pt>
                <c:pt idx="2">
                  <c:v>255</c:v>
                </c:pt>
                <c:pt idx="3">
                  <c:v>228</c:v>
                </c:pt>
                <c:pt idx="4">
                  <c:v>130</c:v>
                </c:pt>
                <c:pt idx="5">
                  <c:v>225</c:v>
                </c:pt>
                <c:pt idx="6">
                  <c:v>133</c:v>
                </c:pt>
                <c:pt idx="7">
                  <c:v>215</c:v>
                </c:pt>
                <c:pt idx="8">
                  <c:v>225</c:v>
                </c:pt>
                <c:pt idx="9">
                  <c:v>214</c:v>
                </c:pt>
                <c:pt idx="10">
                  <c:v>221</c:v>
                </c:pt>
                <c:pt idx="11">
                  <c:v>215</c:v>
                </c:pt>
                <c:pt idx="12">
                  <c:v>205</c:v>
                </c:pt>
                <c:pt idx="13">
                  <c:v>205</c:v>
                </c:pt>
                <c:pt idx="14">
                  <c:v>196</c:v>
                </c:pt>
                <c:pt idx="15">
                  <c:v>210</c:v>
                </c:pt>
                <c:pt idx="16">
                  <c:v>208</c:v>
                </c:pt>
                <c:pt idx="17">
                  <c:v>166.5</c:v>
                </c:pt>
                <c:pt idx="18">
                  <c:v>205</c:v>
                </c:pt>
                <c:pt idx="19">
                  <c:v>194.6</c:v>
                </c:pt>
                <c:pt idx="20">
                  <c:v>171</c:v>
                </c:pt>
                <c:pt idx="21">
                  <c:v>80</c:v>
                </c:pt>
                <c:pt idx="22">
                  <c:v>155</c:v>
                </c:pt>
                <c:pt idx="23">
                  <c:v>170</c:v>
                </c:pt>
                <c:pt idx="24">
                  <c:v>105</c:v>
                </c:pt>
                <c:pt idx="25">
                  <c:v>144</c:v>
                </c:pt>
                <c:pt idx="26">
                  <c:v>150</c:v>
                </c:pt>
                <c:pt idx="27">
                  <c:v>147</c:v>
                </c:pt>
                <c:pt idx="28">
                  <c:v>155</c:v>
                </c:pt>
                <c:pt idx="29">
                  <c:v>177</c:v>
                </c:pt>
                <c:pt idx="30">
                  <c:v>148</c:v>
                </c:pt>
                <c:pt idx="31">
                  <c:v>151</c:v>
                </c:pt>
                <c:pt idx="32">
                  <c:v>144</c:v>
                </c:pt>
                <c:pt idx="33">
                  <c:v>155</c:v>
                </c:pt>
                <c:pt idx="34">
                  <c:v>150</c:v>
                </c:pt>
                <c:pt idx="35">
                  <c:v>115</c:v>
                </c:pt>
                <c:pt idx="36">
                  <c:v>124</c:v>
                </c:pt>
                <c:pt idx="37">
                  <c:v>146</c:v>
                </c:pt>
                <c:pt idx="38">
                  <c:v>150</c:v>
                </c:pt>
                <c:pt idx="39">
                  <c:v>137</c:v>
                </c:pt>
                <c:pt idx="40">
                  <c:v>141</c:v>
                </c:pt>
                <c:pt idx="41">
                  <c:v>144</c:v>
                </c:pt>
                <c:pt idx="42">
                  <c:v>141</c:v>
                </c:pt>
                <c:pt idx="43">
                  <c:v>128</c:v>
                </c:pt>
                <c:pt idx="44">
                  <c:v>115</c:v>
                </c:pt>
                <c:pt idx="45">
                  <c:v>92</c:v>
                </c:pt>
                <c:pt idx="46">
                  <c:v>95</c:v>
                </c:pt>
                <c:pt idx="47">
                  <c:v>100</c:v>
                </c:pt>
                <c:pt idx="48">
                  <c:v>138</c:v>
                </c:pt>
                <c:pt idx="49">
                  <c:v>90</c:v>
                </c:pt>
                <c:pt idx="50">
                  <c:v>95</c:v>
                </c:pt>
                <c:pt idx="51">
                  <c:v>95</c:v>
                </c:pt>
                <c:pt idx="52">
                  <c:v>75</c:v>
                </c:pt>
                <c:pt idx="53">
                  <c:v>76</c:v>
                </c:pt>
                <c:pt idx="54">
                  <c:v>95</c:v>
                </c:pt>
                <c:pt idx="55">
                  <c:v>95</c:v>
                </c:pt>
                <c:pt idx="56">
                  <c:v>95</c:v>
                </c:pt>
                <c:pt idx="57">
                  <c:v>88</c:v>
                </c:pt>
                <c:pt idx="58">
                  <c:v>90</c:v>
                </c:pt>
                <c:pt idx="59">
                  <c:v>70</c:v>
                </c:pt>
                <c:pt idx="60">
                  <c:v>52</c:v>
                </c:pt>
                <c:pt idx="61">
                  <c:v>78</c:v>
                </c:pt>
                <c:pt idx="62">
                  <c:v>75</c:v>
                </c:pt>
                <c:pt idx="63">
                  <c:v>62</c:v>
                </c:pt>
                <c:pt idx="64">
                  <c:v>47</c:v>
                </c:pt>
                <c:pt idx="65">
                  <c:v>64</c:v>
                </c:pt>
                <c:pt idx="66">
                  <c:v>66</c:v>
                </c:pt>
                <c:pt idx="67">
                  <c:v>72</c:v>
                </c:pt>
                <c:pt idx="68">
                  <c:v>306.75</c:v>
                </c:pt>
                <c:pt idx="69">
                  <c:v>218.1</c:v>
                </c:pt>
                <c:pt idx="70">
                  <c:v>178</c:v>
                </c:pt>
                <c:pt idx="71">
                  <c:v>180</c:v>
                </c:pt>
                <c:pt idx="72">
                  <c:v>177</c:v>
                </c:pt>
                <c:pt idx="73">
                  <c:v>124.67</c:v>
                </c:pt>
                <c:pt idx="74">
                  <c:v>93</c:v>
                </c:pt>
              </c:numCache>
            </c:numRef>
          </c:xVal>
          <c:yVal>
            <c:numRef>
              <c:f>'Chapter 12 - Regression'!$C$2:$C$76</c:f>
              <c:numCache>
                <c:formatCode>General</c:formatCode>
                <c:ptCount val="75"/>
                <c:pt idx="0">
                  <c:v>93</c:v>
                </c:pt>
                <c:pt idx="1">
                  <c:v>85</c:v>
                </c:pt>
                <c:pt idx="2">
                  <c:v>85</c:v>
                </c:pt>
                <c:pt idx="3">
                  <c:v>82</c:v>
                </c:pt>
                <c:pt idx="4">
                  <c:v>82</c:v>
                </c:pt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78.400000000000006</c:v>
                </c:pt>
                <c:pt idx="10">
                  <c:v>77</c:v>
                </c:pt>
                <c:pt idx="11">
                  <c:v>76</c:v>
                </c:pt>
                <c:pt idx="12">
                  <c:v>75</c:v>
                </c:pt>
                <c:pt idx="13">
                  <c:v>75</c:v>
                </c:pt>
                <c:pt idx="14">
                  <c:v>74</c:v>
                </c:pt>
                <c:pt idx="15">
                  <c:v>73</c:v>
                </c:pt>
                <c:pt idx="16">
                  <c:v>73</c:v>
                </c:pt>
                <c:pt idx="17">
                  <c:v>73</c:v>
                </c:pt>
                <c:pt idx="18">
                  <c:v>73</c:v>
                </c:pt>
                <c:pt idx="19">
                  <c:v>72</c:v>
                </c:pt>
                <c:pt idx="20">
                  <c:v>70</c:v>
                </c:pt>
                <c:pt idx="21">
                  <c:v>70</c:v>
                </c:pt>
                <c:pt idx="22">
                  <c:v>68</c:v>
                </c:pt>
                <c:pt idx="23">
                  <c:v>67</c:v>
                </c:pt>
                <c:pt idx="24">
                  <c:v>67</c:v>
                </c:pt>
                <c:pt idx="25">
                  <c:v>67</c:v>
                </c:pt>
                <c:pt idx="26">
                  <c:v>66.3</c:v>
                </c:pt>
                <c:pt idx="27">
                  <c:v>66</c:v>
                </c:pt>
                <c:pt idx="28">
                  <c:v>66</c:v>
                </c:pt>
                <c:pt idx="29">
                  <c:v>65.599999999999994</c:v>
                </c:pt>
                <c:pt idx="30">
                  <c:v>65</c:v>
                </c:pt>
                <c:pt idx="31">
                  <c:v>65</c:v>
                </c:pt>
                <c:pt idx="32">
                  <c:v>65</c:v>
                </c:pt>
                <c:pt idx="33">
                  <c:v>65</c:v>
                </c:pt>
                <c:pt idx="34">
                  <c:v>65</c:v>
                </c:pt>
                <c:pt idx="35">
                  <c:v>65</c:v>
                </c:pt>
                <c:pt idx="36">
                  <c:v>65</c:v>
                </c:pt>
                <c:pt idx="37">
                  <c:v>65</c:v>
                </c:pt>
                <c:pt idx="38">
                  <c:v>65</c:v>
                </c:pt>
                <c:pt idx="39">
                  <c:v>65</c:v>
                </c:pt>
                <c:pt idx="40">
                  <c:v>64.8</c:v>
                </c:pt>
                <c:pt idx="41">
                  <c:v>63</c:v>
                </c:pt>
                <c:pt idx="42">
                  <c:v>63</c:v>
                </c:pt>
                <c:pt idx="43">
                  <c:v>63</c:v>
                </c:pt>
                <c:pt idx="44">
                  <c:v>62</c:v>
                </c:pt>
                <c:pt idx="45">
                  <c:v>62</c:v>
                </c:pt>
                <c:pt idx="46">
                  <c:v>55</c:v>
                </c:pt>
                <c:pt idx="47">
                  <c:v>55</c:v>
                </c:pt>
                <c:pt idx="48">
                  <c:v>55</c:v>
                </c:pt>
                <c:pt idx="49">
                  <c:v>55</c:v>
                </c:pt>
                <c:pt idx="50">
                  <c:v>55</c:v>
                </c:pt>
                <c:pt idx="51">
                  <c:v>55</c:v>
                </c:pt>
                <c:pt idx="52">
                  <c:v>55</c:v>
                </c:pt>
                <c:pt idx="53">
                  <c:v>55</c:v>
                </c:pt>
                <c:pt idx="54">
                  <c:v>55</c:v>
                </c:pt>
                <c:pt idx="55">
                  <c:v>55</c:v>
                </c:pt>
                <c:pt idx="56">
                  <c:v>53</c:v>
                </c:pt>
                <c:pt idx="57">
                  <c:v>53</c:v>
                </c:pt>
                <c:pt idx="58">
                  <c:v>52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47</c:v>
                </c:pt>
                <c:pt idx="63">
                  <c:v>46</c:v>
                </c:pt>
                <c:pt idx="64">
                  <c:v>45</c:v>
                </c:pt>
                <c:pt idx="65">
                  <c:v>42</c:v>
                </c:pt>
                <c:pt idx="66">
                  <c:v>41</c:v>
                </c:pt>
                <c:pt idx="67">
                  <c:v>40</c:v>
                </c:pt>
                <c:pt idx="68">
                  <c:v>95</c:v>
                </c:pt>
                <c:pt idx="69">
                  <c:v>80.8</c:v>
                </c:pt>
                <c:pt idx="70">
                  <c:v>71.5</c:v>
                </c:pt>
                <c:pt idx="71">
                  <c:v>68</c:v>
                </c:pt>
                <c:pt idx="72">
                  <c:v>65.599999999999994</c:v>
                </c:pt>
                <c:pt idx="73">
                  <c:v>60.3</c:v>
                </c:pt>
                <c:pt idx="74">
                  <c:v>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38-42C9-A17C-BA4596E25E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5684768"/>
        <c:axId val="1375681408"/>
      </c:scatterChart>
      <c:valAx>
        <c:axId val="1375684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Drop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681408"/>
        <c:crosses val="autoZero"/>
        <c:crossBetween val="midCat"/>
      </c:valAx>
      <c:valAx>
        <c:axId val="137568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Speed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684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14</xdr:col>
      <xdr:colOff>19050</xdr:colOff>
      <xdr:row>20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6980FD-CA85-71C0-EFDB-7AC6D07DE0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AF0D2-9B10-4BA4-A578-A4B61BEBF0F2}">
  <dimension ref="B1:K22"/>
  <sheetViews>
    <sheetView zoomScale="82" workbookViewId="0">
      <selection activeCell="I21" sqref="I21"/>
    </sheetView>
  </sheetViews>
  <sheetFormatPr defaultColWidth="9" defaultRowHeight="15" x14ac:dyDescent="0.25"/>
  <cols>
    <col min="2" max="2" width="4" customWidth="1"/>
    <col min="3" max="3" width="12.7109375" customWidth="1"/>
    <col min="4" max="4" width="27.7109375" bestFit="1" customWidth="1"/>
    <col min="5" max="5" width="26.42578125" style="12" customWidth="1"/>
    <col min="6" max="6" width="4.85546875" style="1" customWidth="1"/>
    <col min="7" max="7" width="25" style="12" customWidth="1"/>
    <col min="10" max="10" width="9" customWidth="1"/>
    <col min="11" max="11" width="9" style="12" hidden="1" customWidth="1"/>
    <col min="12" max="12" width="9" customWidth="1"/>
  </cols>
  <sheetData>
    <row r="1" spans="2:11" ht="15.75" thickBot="1" x14ac:dyDescent="0.3"/>
    <row r="2" spans="2:11" ht="15.75" thickBot="1" x14ac:dyDescent="0.3">
      <c r="B2" s="67" t="s">
        <v>5</v>
      </c>
      <c r="C2" s="72" t="s">
        <v>24</v>
      </c>
      <c r="D2" s="73"/>
      <c r="E2" s="28" t="s">
        <v>4</v>
      </c>
      <c r="F2" s="2"/>
      <c r="G2" s="35" t="s">
        <v>3</v>
      </c>
      <c r="K2" s="12" t="s">
        <v>19</v>
      </c>
    </row>
    <row r="3" spans="2:11" ht="14.25" customHeight="1" x14ac:dyDescent="0.25">
      <c r="B3" s="68"/>
      <c r="C3" s="70" t="s">
        <v>0</v>
      </c>
      <c r="D3" s="19" t="s">
        <v>12</v>
      </c>
      <c r="E3" s="29" t="s">
        <v>13</v>
      </c>
      <c r="F3" s="2" t="s">
        <v>14</v>
      </c>
      <c r="G3" s="36">
        <v>2.5</v>
      </c>
      <c r="K3" s="12" t="s">
        <v>20</v>
      </c>
    </row>
    <row r="4" spans="2:11" x14ac:dyDescent="0.25">
      <c r="B4" s="68"/>
      <c r="C4" s="71"/>
      <c r="D4" s="14" t="s">
        <v>15</v>
      </c>
      <c r="E4" s="30" t="s">
        <v>22</v>
      </c>
      <c r="F4" s="16" t="s">
        <v>20</v>
      </c>
      <c r="G4" s="37">
        <f>G3</f>
        <v>2.5</v>
      </c>
      <c r="K4" s="15" t="s">
        <v>21</v>
      </c>
    </row>
    <row r="5" spans="2:11" ht="15.75" thickBot="1" x14ac:dyDescent="0.3">
      <c r="B5" s="68"/>
      <c r="C5" s="22"/>
      <c r="D5" s="1"/>
      <c r="F5" s="13"/>
      <c r="G5" s="38"/>
    </row>
    <row r="6" spans="2:11" x14ac:dyDescent="0.25">
      <c r="B6" s="68"/>
      <c r="C6" s="63"/>
      <c r="D6" t="s">
        <v>2</v>
      </c>
      <c r="E6" s="74" t="s">
        <v>120</v>
      </c>
      <c r="F6"/>
      <c r="G6" s="39">
        <v>2.85</v>
      </c>
    </row>
    <row r="7" spans="2:11" x14ac:dyDescent="0.25">
      <c r="B7" s="68"/>
      <c r="C7" s="63"/>
      <c r="D7" t="s">
        <v>16</v>
      </c>
      <c r="E7" s="75"/>
      <c r="F7"/>
      <c r="G7" s="39">
        <v>1.05</v>
      </c>
    </row>
    <row r="8" spans="2:11" x14ac:dyDescent="0.25">
      <c r="B8" s="68"/>
      <c r="C8" s="63"/>
      <c r="D8" t="s">
        <v>1</v>
      </c>
      <c r="E8" s="75"/>
      <c r="F8"/>
      <c r="G8" s="40">
        <v>52</v>
      </c>
    </row>
    <row r="9" spans="2:11" ht="15.75" thickBot="1" x14ac:dyDescent="0.3">
      <c r="B9" s="68"/>
      <c r="C9" s="63"/>
      <c r="D9" t="s">
        <v>23</v>
      </c>
      <c r="E9" s="76"/>
      <c r="F9"/>
      <c r="G9" s="39">
        <v>0.02</v>
      </c>
    </row>
    <row r="10" spans="2:11" x14ac:dyDescent="0.25">
      <c r="B10" s="68"/>
      <c r="C10" s="63"/>
      <c r="F10"/>
      <c r="G10" s="37"/>
    </row>
    <row r="11" spans="2:11" x14ac:dyDescent="0.25">
      <c r="B11" s="68"/>
      <c r="C11" s="62" t="s">
        <v>0</v>
      </c>
      <c r="D11" t="s">
        <v>11</v>
      </c>
      <c r="E11" s="31" t="s">
        <v>132</v>
      </c>
      <c r="F11"/>
      <c r="G11" s="41">
        <f>G7/SQRT(G8)</f>
        <v>0.14560880150912267</v>
      </c>
    </row>
    <row r="12" spans="2:11" x14ac:dyDescent="0.25">
      <c r="B12" s="68"/>
      <c r="C12" s="23"/>
      <c r="F12"/>
      <c r="G12" s="42"/>
    </row>
    <row r="13" spans="2:11" x14ac:dyDescent="0.25">
      <c r="B13" s="68"/>
      <c r="C13" s="17" t="s">
        <v>0</v>
      </c>
      <c r="D13" t="s">
        <v>17</v>
      </c>
      <c r="E13" s="31" t="s">
        <v>133</v>
      </c>
      <c r="F13"/>
      <c r="G13" s="41">
        <f>(G6-G3)/(G7/SQRT(G8))</f>
        <v>2.4037008503093262</v>
      </c>
    </row>
    <row r="14" spans="2:11" x14ac:dyDescent="0.25">
      <c r="B14" s="68"/>
      <c r="C14" s="17"/>
      <c r="E14" s="32"/>
      <c r="F14"/>
      <c r="G14" s="42"/>
    </row>
    <row r="15" spans="2:11" x14ac:dyDescent="0.25">
      <c r="B15" s="68"/>
      <c r="C15" s="17" t="s">
        <v>0</v>
      </c>
      <c r="D15" t="s">
        <v>18</v>
      </c>
      <c r="E15" s="31" t="s">
        <v>135</v>
      </c>
      <c r="F15"/>
      <c r="G15" s="41">
        <f>1-_xlfn.NORM.S.DIST(G13,1)</f>
        <v>8.1150242873067047E-3</v>
      </c>
    </row>
    <row r="16" spans="2:11" x14ac:dyDescent="0.25">
      <c r="B16" s="68"/>
      <c r="C16" s="1"/>
      <c r="E16" s="32"/>
      <c r="F16"/>
      <c r="G16" s="42"/>
    </row>
    <row r="17" spans="2:7" x14ac:dyDescent="0.25">
      <c r="B17" s="68"/>
      <c r="C17" s="17" t="s">
        <v>0</v>
      </c>
      <c r="D17" t="s">
        <v>6</v>
      </c>
      <c r="E17" s="31" t="s">
        <v>134</v>
      </c>
      <c r="G17" s="41">
        <f>_xlfn.NORM.S.INV(1-G9)</f>
        <v>2.0537489106318221</v>
      </c>
    </row>
    <row r="18" spans="2:7" x14ac:dyDescent="0.25">
      <c r="B18" s="68"/>
      <c r="C18" s="17"/>
      <c r="E18" s="32"/>
      <c r="G18" s="43"/>
    </row>
    <row r="19" spans="2:7" x14ac:dyDescent="0.25">
      <c r="B19" s="68"/>
      <c r="C19" s="17" t="s">
        <v>0</v>
      </c>
      <c r="D19" t="s">
        <v>7</v>
      </c>
      <c r="E19" s="31" t="s">
        <v>136</v>
      </c>
      <c r="G19" s="41">
        <f>G17*G11</f>
        <v>0.29904391747776587</v>
      </c>
    </row>
    <row r="20" spans="2:7" ht="15.75" thickBot="1" x14ac:dyDescent="0.3">
      <c r="B20" s="68"/>
      <c r="C20" s="12"/>
      <c r="F20"/>
      <c r="G20" s="44"/>
    </row>
    <row r="21" spans="2:7" ht="15.75" thickBot="1" x14ac:dyDescent="0.3">
      <c r="B21" s="68"/>
      <c r="E21" s="33" t="s">
        <v>9</v>
      </c>
      <c r="F21" s="8"/>
      <c r="G21" s="45" t="s">
        <v>10</v>
      </c>
    </row>
    <row r="22" spans="2:7" ht="15.75" thickBot="1" x14ac:dyDescent="0.3">
      <c r="B22" s="69"/>
      <c r="C22" s="18" t="s">
        <v>0</v>
      </c>
      <c r="D22" s="4" t="s">
        <v>8</v>
      </c>
      <c r="E22" s="34">
        <f>G6-G19</f>
        <v>2.5509560825222342</v>
      </c>
      <c r="F22" s="10"/>
      <c r="G22" s="46">
        <f>G6+G19</f>
        <v>3.149043917477766</v>
      </c>
    </row>
  </sheetData>
  <sheetProtection algorithmName="SHA-512" hashValue="pRxiWIDKV0ExusUwzoC3XEMN1aI48Ob1om/fyOZSQNYTR3qWpbTHkv4Qpmg2nu4t9RWnhP81AoljzJ03C8MBxQ==" saltValue="r1hrhQVVxOslr9TEBC8BsQ==" spinCount="100000" sheet="1" objects="1" scenarios="1"/>
  <mergeCells count="4">
    <mergeCell ref="B2:B22"/>
    <mergeCell ref="C3:C4"/>
    <mergeCell ref="C2:D2"/>
    <mergeCell ref="E6:E9"/>
  </mergeCells>
  <dataValidations count="1">
    <dataValidation type="list" allowBlank="1" showInputMessage="1" showErrorMessage="1" sqref="F4" xr:uid="{6B6D91FE-1041-4644-97DB-D11ACBDBF347}">
      <formula1>$K$1:$K$4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9F530-B032-4A17-A8A6-173DB18BD20F}">
  <dimension ref="B1:K22"/>
  <sheetViews>
    <sheetView zoomScale="80" workbookViewId="0">
      <selection activeCell="E39" sqref="E39"/>
    </sheetView>
  </sheetViews>
  <sheetFormatPr defaultColWidth="9" defaultRowHeight="15" x14ac:dyDescent="0.25"/>
  <cols>
    <col min="2" max="2" width="4" customWidth="1"/>
    <col min="3" max="3" width="12.7109375" customWidth="1"/>
    <col min="4" max="4" width="27.7109375" bestFit="1" customWidth="1"/>
    <col min="5" max="5" width="26.42578125" style="12" customWidth="1"/>
    <col min="6" max="6" width="4.85546875" style="1" customWidth="1"/>
    <col min="7" max="7" width="25" style="1" customWidth="1"/>
    <col min="11" max="11" width="9" style="12" hidden="1" customWidth="1"/>
  </cols>
  <sheetData>
    <row r="1" spans="2:11" ht="15.75" thickBot="1" x14ac:dyDescent="0.3"/>
    <row r="2" spans="2:11" ht="15.75" thickBot="1" x14ac:dyDescent="0.3">
      <c r="B2" s="67" t="s">
        <v>122</v>
      </c>
      <c r="C2" s="72" t="s">
        <v>25</v>
      </c>
      <c r="D2" s="73"/>
      <c r="E2" s="28" t="s">
        <v>4</v>
      </c>
      <c r="F2" s="2"/>
      <c r="G2" s="3" t="s">
        <v>3</v>
      </c>
      <c r="K2" s="12" t="s">
        <v>19</v>
      </c>
    </row>
    <row r="3" spans="2:11" ht="14.25" customHeight="1" x14ac:dyDescent="0.25">
      <c r="B3" s="68"/>
      <c r="C3" s="70" t="s">
        <v>0</v>
      </c>
      <c r="D3" s="19" t="s">
        <v>12</v>
      </c>
      <c r="E3" s="29" t="s">
        <v>13</v>
      </c>
      <c r="F3" s="2" t="s">
        <v>14</v>
      </c>
      <c r="G3" s="24">
        <v>25</v>
      </c>
      <c r="K3" s="12" t="s">
        <v>20</v>
      </c>
    </row>
    <row r="4" spans="2:11" x14ac:dyDescent="0.25">
      <c r="B4" s="68"/>
      <c r="C4" s="71"/>
      <c r="D4" s="14" t="s">
        <v>15</v>
      </c>
      <c r="E4" s="30" t="s">
        <v>22</v>
      </c>
      <c r="F4" s="16" t="s">
        <v>20</v>
      </c>
      <c r="G4" s="27">
        <f>G3</f>
        <v>25</v>
      </c>
      <c r="K4" s="15" t="s">
        <v>21</v>
      </c>
    </row>
    <row r="5" spans="2:11" ht="15.75" thickBot="1" x14ac:dyDescent="0.3">
      <c r="B5" s="68"/>
      <c r="C5" s="22"/>
      <c r="D5" s="1"/>
      <c r="E5" s="65"/>
      <c r="F5" s="13"/>
      <c r="G5" s="20"/>
    </row>
    <row r="6" spans="2:11" x14ac:dyDescent="0.25">
      <c r="B6" s="68"/>
      <c r="C6" s="63"/>
      <c r="D6" t="s">
        <v>2</v>
      </c>
      <c r="E6" s="77" t="s">
        <v>121</v>
      </c>
      <c r="F6"/>
      <c r="G6" s="25">
        <v>27.9</v>
      </c>
    </row>
    <row r="7" spans="2:11" x14ac:dyDescent="0.25">
      <c r="B7" s="68"/>
      <c r="C7" s="63"/>
      <c r="D7" t="s">
        <v>123</v>
      </c>
      <c r="E7" s="78"/>
      <c r="F7"/>
      <c r="G7" s="25">
        <v>3.4</v>
      </c>
    </row>
    <row r="8" spans="2:11" x14ac:dyDescent="0.25">
      <c r="B8" s="68"/>
      <c r="C8" s="63"/>
      <c r="D8" t="s">
        <v>1</v>
      </c>
      <c r="E8" s="78"/>
      <c r="F8"/>
      <c r="G8" s="7">
        <v>31</v>
      </c>
    </row>
    <row r="9" spans="2:11" ht="15.75" thickBot="1" x14ac:dyDescent="0.3">
      <c r="B9" s="68"/>
      <c r="C9" s="63"/>
      <c r="D9" t="s">
        <v>23</v>
      </c>
      <c r="E9" s="79"/>
      <c r="F9"/>
      <c r="G9" s="47">
        <v>2.5000000000000001E-2</v>
      </c>
    </row>
    <row r="10" spans="2:11" x14ac:dyDescent="0.25">
      <c r="B10" s="68"/>
      <c r="C10" s="63"/>
      <c r="F10"/>
      <c r="G10" s="64"/>
    </row>
    <row r="11" spans="2:11" x14ac:dyDescent="0.25">
      <c r="B11" s="68"/>
      <c r="C11" s="62" t="s">
        <v>0</v>
      </c>
      <c r="D11" t="s">
        <v>11</v>
      </c>
      <c r="E11" s="31" t="s">
        <v>132</v>
      </c>
      <c r="F11"/>
      <c r="G11" s="6">
        <f>G7/SQRT(G8)</f>
        <v>0.61065802689103466</v>
      </c>
    </row>
    <row r="12" spans="2:11" x14ac:dyDescent="0.25">
      <c r="B12" s="68"/>
      <c r="C12" s="23"/>
      <c r="F12"/>
      <c r="G12" s="26"/>
    </row>
    <row r="13" spans="2:11" x14ac:dyDescent="0.25">
      <c r="B13" s="68"/>
      <c r="C13" s="17" t="s">
        <v>0</v>
      </c>
      <c r="D13" t="s">
        <v>119</v>
      </c>
      <c r="E13" s="31" t="s">
        <v>137</v>
      </c>
      <c r="F13"/>
      <c r="G13" s="6">
        <f>(G6-G3)/G11</f>
        <v>4.7489754859432516</v>
      </c>
    </row>
    <row r="14" spans="2:11" x14ac:dyDescent="0.25">
      <c r="B14" s="68"/>
      <c r="C14" s="17"/>
      <c r="E14" s="32"/>
      <c r="F14"/>
      <c r="G14" s="26"/>
    </row>
    <row r="15" spans="2:11" x14ac:dyDescent="0.25">
      <c r="B15" s="68"/>
      <c r="C15" s="17" t="s">
        <v>0</v>
      </c>
      <c r="D15" t="s">
        <v>18</v>
      </c>
      <c r="E15" s="31" t="s">
        <v>135</v>
      </c>
      <c r="F15"/>
      <c r="G15" s="6">
        <f>1-_xlfn.NORM.S.DIST(G13,1)</f>
        <v>1.0222486008792941E-6</v>
      </c>
    </row>
    <row r="16" spans="2:11" x14ac:dyDescent="0.25">
      <c r="B16" s="68"/>
      <c r="C16" s="1"/>
      <c r="E16" s="32"/>
      <c r="F16"/>
      <c r="G16" s="26"/>
    </row>
    <row r="17" spans="2:7" x14ac:dyDescent="0.25">
      <c r="B17" s="68"/>
      <c r="C17" s="17" t="s">
        <v>0</v>
      </c>
      <c r="D17" t="s">
        <v>6</v>
      </c>
      <c r="E17" s="31" t="s">
        <v>138</v>
      </c>
      <c r="G17" s="6">
        <f>_xlfn.T.INV(1-G9,G8-1)</f>
        <v>2.0422724563012378</v>
      </c>
    </row>
    <row r="18" spans="2:7" x14ac:dyDescent="0.25">
      <c r="B18" s="68"/>
      <c r="C18" s="17"/>
      <c r="E18" s="32"/>
      <c r="G18" s="5"/>
    </row>
    <row r="19" spans="2:7" x14ac:dyDescent="0.25">
      <c r="B19" s="68"/>
      <c r="C19" s="17" t="s">
        <v>0</v>
      </c>
      <c r="D19" t="s">
        <v>7</v>
      </c>
      <c r="E19" s="31" t="s">
        <v>136</v>
      </c>
      <c r="G19" s="6">
        <f>G17*G11</f>
        <v>1.2471300685388207</v>
      </c>
    </row>
    <row r="20" spans="2:7" ht="15.75" thickBot="1" x14ac:dyDescent="0.3">
      <c r="B20" s="68"/>
      <c r="C20" s="12"/>
      <c r="F20"/>
      <c r="G20" s="21"/>
    </row>
    <row r="21" spans="2:7" ht="15.75" thickBot="1" x14ac:dyDescent="0.3">
      <c r="B21" s="68"/>
      <c r="E21" s="33" t="s">
        <v>9</v>
      </c>
      <c r="F21" s="8"/>
      <c r="G21" s="9" t="s">
        <v>10</v>
      </c>
    </row>
    <row r="22" spans="2:7" ht="15.75" thickBot="1" x14ac:dyDescent="0.3">
      <c r="B22" s="69"/>
      <c r="C22" s="18" t="s">
        <v>0</v>
      </c>
      <c r="D22" s="4" t="s">
        <v>8</v>
      </c>
      <c r="E22" s="34">
        <f>G6-G19</f>
        <v>26.652869931461179</v>
      </c>
      <c r="F22" s="10"/>
      <c r="G22" s="11">
        <f>G6+G19</f>
        <v>29.147130068538818</v>
      </c>
    </row>
  </sheetData>
  <mergeCells count="4">
    <mergeCell ref="B2:B22"/>
    <mergeCell ref="C2:D2"/>
    <mergeCell ref="C3:C4"/>
    <mergeCell ref="E6:E9"/>
  </mergeCells>
  <dataValidations disablePrompts="1" count="1">
    <dataValidation type="list" allowBlank="1" showInputMessage="1" showErrorMessage="1" sqref="F4" xr:uid="{8224DECD-48BE-41F4-A40F-BECFD5483230}">
      <formula1>$K$1:$K$4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08AD1-C021-48D9-B8AD-012B92DB5C28}">
  <dimension ref="B1:K27"/>
  <sheetViews>
    <sheetView zoomScale="84" zoomScaleNormal="84" workbookViewId="0">
      <selection activeCell="E35" sqref="E35"/>
    </sheetView>
  </sheetViews>
  <sheetFormatPr defaultRowHeight="15" x14ac:dyDescent="0.25"/>
  <cols>
    <col min="2" max="2" width="3.140625" bestFit="1" customWidth="1"/>
    <col min="3" max="3" width="9" style="49"/>
    <col min="4" max="4" width="18.85546875" style="50" bestFit="1" customWidth="1"/>
    <col min="5" max="5" width="35.28515625" style="12" customWidth="1"/>
    <col min="6" max="6" width="4.5703125" style="1" customWidth="1"/>
    <col min="7" max="7" width="27.5703125" customWidth="1"/>
    <col min="10" max="10" width="9" customWidth="1"/>
    <col min="11" max="11" width="9" style="1" hidden="1" customWidth="1"/>
    <col min="12" max="12" width="9" customWidth="1"/>
  </cols>
  <sheetData>
    <row r="1" spans="2:11" ht="15.75" thickBot="1" x14ac:dyDescent="0.3"/>
    <row r="2" spans="2:11" ht="15.75" thickBot="1" x14ac:dyDescent="0.3">
      <c r="B2" s="67" t="s">
        <v>124</v>
      </c>
      <c r="C2" s="84" t="s">
        <v>36</v>
      </c>
      <c r="D2" s="85"/>
      <c r="E2" s="51" t="s">
        <v>4</v>
      </c>
      <c r="F2" s="51"/>
      <c r="G2" s="52" t="s">
        <v>3</v>
      </c>
      <c r="K2" s="1" t="s">
        <v>19</v>
      </c>
    </row>
    <row r="3" spans="2:11" ht="14.25" customHeight="1" x14ac:dyDescent="0.25">
      <c r="B3" s="68"/>
      <c r="C3" s="83" t="s">
        <v>0</v>
      </c>
      <c r="D3" s="53" t="s">
        <v>12</v>
      </c>
      <c r="E3" s="54" t="s">
        <v>126</v>
      </c>
      <c r="F3" s="12" t="s">
        <v>14</v>
      </c>
      <c r="G3" s="40">
        <v>0</v>
      </c>
      <c r="K3" s="1" t="s">
        <v>20</v>
      </c>
    </row>
    <row r="4" spans="2:11" x14ac:dyDescent="0.25">
      <c r="B4" s="68"/>
      <c r="C4" s="83"/>
      <c r="D4" s="53" t="s">
        <v>15</v>
      </c>
      <c r="E4" s="30" t="s">
        <v>127</v>
      </c>
      <c r="F4" s="48" t="s">
        <v>21</v>
      </c>
      <c r="G4" s="38">
        <f>G3</f>
        <v>0</v>
      </c>
      <c r="K4" s="55" t="s">
        <v>21</v>
      </c>
    </row>
    <row r="5" spans="2:11" ht="15.75" thickBot="1" x14ac:dyDescent="0.3">
      <c r="B5" s="68"/>
      <c r="C5" s="23"/>
      <c r="D5" s="53"/>
      <c r="F5" s="12"/>
      <c r="G5" s="38"/>
    </row>
    <row r="6" spans="2:11" x14ac:dyDescent="0.25">
      <c r="B6" s="68"/>
      <c r="C6" s="66"/>
      <c r="D6" s="57" t="s">
        <v>115</v>
      </c>
      <c r="E6" s="80" t="s">
        <v>121</v>
      </c>
      <c r="F6" s="57"/>
      <c r="G6" s="39">
        <v>309.63</v>
      </c>
    </row>
    <row r="7" spans="2:11" x14ac:dyDescent="0.25">
      <c r="B7" s="68"/>
      <c r="C7" s="66"/>
      <c r="D7" s="57" t="s">
        <v>114</v>
      </c>
      <c r="E7" s="81"/>
      <c r="F7" s="57"/>
      <c r="G7" s="39">
        <v>15.91</v>
      </c>
    </row>
    <row r="8" spans="2:11" x14ac:dyDescent="0.25">
      <c r="B8" s="68"/>
      <c r="C8" s="66"/>
      <c r="D8" s="57" t="s">
        <v>113</v>
      </c>
      <c r="E8" s="81"/>
      <c r="F8" s="57"/>
      <c r="G8" s="40">
        <v>20</v>
      </c>
    </row>
    <row r="9" spans="2:11" x14ac:dyDescent="0.25">
      <c r="B9" s="68"/>
      <c r="C9" s="66"/>
      <c r="D9" s="57" t="s">
        <v>116</v>
      </c>
      <c r="E9" s="81"/>
      <c r="F9" s="57"/>
      <c r="G9" s="39">
        <v>311.87</v>
      </c>
    </row>
    <row r="10" spans="2:11" x14ac:dyDescent="0.25">
      <c r="B10" s="68"/>
      <c r="C10" s="66"/>
      <c r="D10" s="57" t="s">
        <v>114</v>
      </c>
      <c r="E10" s="81"/>
      <c r="F10" s="57"/>
      <c r="G10" s="39">
        <v>13.21</v>
      </c>
    </row>
    <row r="11" spans="2:11" x14ac:dyDescent="0.25">
      <c r="B11" s="68"/>
      <c r="C11" s="66"/>
      <c r="D11" s="57" t="s">
        <v>113</v>
      </c>
      <c r="E11" s="81"/>
      <c r="F11" s="57"/>
      <c r="G11" s="40">
        <v>15</v>
      </c>
    </row>
    <row r="12" spans="2:11" x14ac:dyDescent="0.25">
      <c r="B12" s="68"/>
      <c r="C12" s="66"/>
      <c r="D12" s="57" t="s">
        <v>34</v>
      </c>
      <c r="E12" s="81"/>
      <c r="F12" s="57"/>
      <c r="G12" s="39">
        <v>0.1</v>
      </c>
    </row>
    <row r="13" spans="2:11" x14ac:dyDescent="0.25">
      <c r="B13" s="68"/>
      <c r="C13" s="66"/>
      <c r="D13" s="57" t="s">
        <v>35</v>
      </c>
      <c r="E13" s="81"/>
      <c r="F13" s="57"/>
      <c r="G13" s="39">
        <f>G6-G9</f>
        <v>-2.2400000000000091</v>
      </c>
    </row>
    <row r="14" spans="2:11" ht="15.75" thickBot="1" x14ac:dyDescent="0.3">
      <c r="B14" s="68"/>
      <c r="C14" s="66"/>
      <c r="D14" s="57" t="s">
        <v>118</v>
      </c>
      <c r="E14" s="82"/>
      <c r="F14" s="57"/>
      <c r="G14" s="40">
        <f>IF(G8&lt;G11,G8-1,G11-1)</f>
        <v>14</v>
      </c>
    </row>
    <row r="15" spans="2:11" x14ac:dyDescent="0.25">
      <c r="B15" s="68"/>
      <c r="C15" s="22"/>
      <c r="D15" s="56"/>
      <c r="F15" s="12"/>
      <c r="G15" s="38"/>
    </row>
    <row r="16" spans="2:11" x14ac:dyDescent="0.25">
      <c r="B16" s="68"/>
      <c r="C16" s="22" t="s">
        <v>0</v>
      </c>
      <c r="D16" s="56" t="s">
        <v>11</v>
      </c>
      <c r="E16" s="31" t="s">
        <v>139</v>
      </c>
      <c r="F16" s="12"/>
      <c r="G16" s="41">
        <f>SQRT(G7^2/G8+G10^2/G11)</f>
        <v>4.9284897957352687</v>
      </c>
    </row>
    <row r="17" spans="2:7" x14ac:dyDescent="0.25">
      <c r="B17" s="68"/>
      <c r="C17" s="22"/>
      <c r="D17" s="56"/>
      <c r="F17" s="12"/>
      <c r="G17" s="38"/>
    </row>
    <row r="18" spans="2:7" x14ac:dyDescent="0.25">
      <c r="B18" s="68"/>
      <c r="C18" s="23" t="s">
        <v>0</v>
      </c>
      <c r="D18" s="57" t="s">
        <v>117</v>
      </c>
      <c r="E18" s="31" t="s">
        <v>140</v>
      </c>
      <c r="F18" s="57"/>
      <c r="G18" s="41">
        <f>((G6-G9)-G3)/SQRT(G7^2/G8+G10^2/G11)</f>
        <v>-0.45450028159504979</v>
      </c>
    </row>
    <row r="19" spans="2:7" x14ac:dyDescent="0.25">
      <c r="B19" s="68"/>
      <c r="C19" s="23"/>
      <c r="D19" s="56"/>
      <c r="E19" s="32"/>
      <c r="F19" s="12"/>
      <c r="G19" s="43"/>
    </row>
    <row r="20" spans="2:7" x14ac:dyDescent="0.25">
      <c r="B20" s="68"/>
      <c r="C20" s="23" t="s">
        <v>0</v>
      </c>
      <c r="D20" s="57" t="s">
        <v>18</v>
      </c>
      <c r="E20" s="31" t="s">
        <v>141</v>
      </c>
      <c r="F20" s="57"/>
      <c r="G20" s="41">
        <f>_xlfn.T.DIST.2T(ABS(G18),G14)</f>
        <v>0.65643600585295969</v>
      </c>
    </row>
    <row r="21" spans="2:7" x14ac:dyDescent="0.25">
      <c r="B21" s="68"/>
      <c r="D21"/>
      <c r="E21" s="32"/>
      <c r="G21" s="43"/>
    </row>
    <row r="22" spans="2:7" x14ac:dyDescent="0.25">
      <c r="B22" s="68"/>
      <c r="C22" s="23" t="s">
        <v>0</v>
      </c>
      <c r="D22" s="57" t="s">
        <v>6</v>
      </c>
      <c r="E22" s="31" t="s">
        <v>142</v>
      </c>
      <c r="F22" s="12"/>
      <c r="G22" s="41">
        <f>_xlfn.T.INV.2T(G12,G14)</f>
        <v>1.7613101357748921</v>
      </c>
    </row>
    <row r="23" spans="2:7" x14ac:dyDescent="0.25">
      <c r="B23" s="68"/>
      <c r="C23" s="60"/>
      <c r="D23" s="56"/>
      <c r="E23" s="32"/>
      <c r="F23" s="12"/>
      <c r="G23" s="43"/>
    </row>
    <row r="24" spans="2:7" x14ac:dyDescent="0.25">
      <c r="B24" s="68"/>
      <c r="C24" s="23" t="s">
        <v>0</v>
      </c>
      <c r="D24" s="57" t="s">
        <v>7</v>
      </c>
      <c r="E24" s="31" t="s">
        <v>143</v>
      </c>
      <c r="F24" s="12"/>
      <c r="G24" s="41">
        <f>G22*SQRT(G7^2/G8+G10^2/G11)</f>
        <v>8.6805990312916563</v>
      </c>
    </row>
    <row r="25" spans="2:7" ht="15.75" thickBot="1" x14ac:dyDescent="0.3">
      <c r="B25" s="68"/>
      <c r="C25" s="60"/>
      <c r="D25" s="56"/>
      <c r="F25" s="12"/>
      <c r="G25" s="38"/>
    </row>
    <row r="26" spans="2:7" ht="15.75" thickBot="1" x14ac:dyDescent="0.3">
      <c r="B26" s="68"/>
      <c r="C26" s="60"/>
      <c r="D26"/>
      <c r="E26" s="33" t="s">
        <v>9</v>
      </c>
      <c r="F26" s="8"/>
      <c r="G26" s="9" t="s">
        <v>10</v>
      </c>
    </row>
    <row r="27" spans="2:7" ht="15.75" thickBot="1" x14ac:dyDescent="0.3">
      <c r="B27" s="69"/>
      <c r="C27" s="61" t="s">
        <v>0</v>
      </c>
      <c r="D27" s="4" t="s">
        <v>8</v>
      </c>
      <c r="E27" s="34">
        <f>G13-G24</f>
        <v>-10.920599031291665</v>
      </c>
      <c r="F27" s="10"/>
      <c r="G27" s="11">
        <f>G13+G24</f>
        <v>6.4405990312916472</v>
      </c>
    </row>
  </sheetData>
  <sheetProtection algorithmName="SHA-512" hashValue="YMCeHrVcc0xsQoMprLHfhxICCPI0YOi7K8aR7IsW1SZ1AJnqHYYDS0dYA+T1oo4nfSDTEJQ11Zvk/lDwWETlwA==" saltValue="BpiQFMmlMXa+DWm1OcTudA==" spinCount="100000" sheet="1" objects="1" scenarios="1"/>
  <mergeCells count="4">
    <mergeCell ref="E6:E14"/>
    <mergeCell ref="C3:C4"/>
    <mergeCell ref="C2:D2"/>
    <mergeCell ref="B2:B27"/>
  </mergeCells>
  <dataValidations count="1">
    <dataValidation type="list" allowBlank="1" showInputMessage="1" showErrorMessage="1" sqref="F4" xr:uid="{B1A9877E-7B2C-4030-BB13-9051D41AF629}">
      <formula1>$K$1:$K$4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6F8C3-FDCD-49E1-ADFE-C8662502F737}">
  <dimension ref="B1:K29"/>
  <sheetViews>
    <sheetView zoomScale="79" workbookViewId="0">
      <selection activeCell="F40" sqref="F40"/>
    </sheetView>
  </sheetViews>
  <sheetFormatPr defaultRowHeight="15" x14ac:dyDescent="0.25"/>
  <cols>
    <col min="2" max="2" width="3.140625" bestFit="1" customWidth="1"/>
    <col min="3" max="3" width="9" style="49"/>
    <col min="4" max="4" width="26.42578125" style="50" bestFit="1" customWidth="1"/>
    <col min="5" max="5" width="35.28515625" customWidth="1"/>
    <col min="6" max="6" width="4.5703125" style="1" customWidth="1"/>
    <col min="7" max="7" width="27.5703125" customWidth="1"/>
    <col min="8" max="8" width="11.42578125" customWidth="1"/>
    <col min="10" max="10" width="9" customWidth="1"/>
    <col min="11" max="11" width="9" style="1" hidden="1" customWidth="1"/>
    <col min="12" max="12" width="9" customWidth="1"/>
  </cols>
  <sheetData>
    <row r="1" spans="2:11" ht="15.75" thickBot="1" x14ac:dyDescent="0.3"/>
    <row r="2" spans="2:11" ht="15.75" thickBot="1" x14ac:dyDescent="0.3">
      <c r="B2" s="67" t="s">
        <v>125</v>
      </c>
      <c r="C2" s="84" t="s">
        <v>36</v>
      </c>
      <c r="D2" s="85"/>
      <c r="E2" s="51" t="s">
        <v>4</v>
      </c>
      <c r="F2" s="51"/>
      <c r="G2" s="52" t="s">
        <v>3</v>
      </c>
      <c r="K2" s="1" t="s">
        <v>19</v>
      </c>
    </row>
    <row r="3" spans="2:11" ht="14.25" customHeight="1" x14ac:dyDescent="0.25">
      <c r="B3" s="68"/>
      <c r="C3" s="83" t="s">
        <v>0</v>
      </c>
      <c r="D3" s="53" t="s">
        <v>129</v>
      </c>
      <c r="E3" s="54" t="s">
        <v>130</v>
      </c>
      <c r="F3" s="12" t="s">
        <v>14</v>
      </c>
      <c r="G3" s="40">
        <v>0</v>
      </c>
      <c r="K3" s="1" t="s">
        <v>20</v>
      </c>
    </row>
    <row r="4" spans="2:11" x14ac:dyDescent="0.25">
      <c r="B4" s="68"/>
      <c r="C4" s="83"/>
      <c r="D4" s="53" t="s">
        <v>15</v>
      </c>
      <c r="E4" s="30" t="s">
        <v>131</v>
      </c>
      <c r="F4" s="48" t="s">
        <v>19</v>
      </c>
      <c r="G4" s="38">
        <f>G3</f>
        <v>0</v>
      </c>
      <c r="K4" s="55" t="s">
        <v>21</v>
      </c>
    </row>
    <row r="5" spans="2:11" ht="15.75" thickBot="1" x14ac:dyDescent="0.3">
      <c r="B5" s="68"/>
      <c r="C5" s="23"/>
      <c r="D5" s="53"/>
      <c r="E5" s="56"/>
      <c r="F5" s="12"/>
      <c r="G5" s="38"/>
    </row>
    <row r="6" spans="2:11" x14ac:dyDescent="0.25">
      <c r="B6" s="68"/>
      <c r="C6" s="66"/>
      <c r="D6" s="57" t="s">
        <v>26</v>
      </c>
      <c r="E6" s="86" t="s">
        <v>128</v>
      </c>
      <c r="F6" s="57"/>
      <c r="G6" s="40">
        <v>1500</v>
      </c>
    </row>
    <row r="7" spans="2:11" x14ac:dyDescent="0.25">
      <c r="B7" s="68"/>
      <c r="C7" s="66"/>
      <c r="D7" s="57" t="s">
        <v>27</v>
      </c>
      <c r="E7" s="87"/>
      <c r="F7" s="57"/>
      <c r="G7" s="40">
        <v>2126</v>
      </c>
    </row>
    <row r="8" spans="2:11" x14ac:dyDescent="0.25">
      <c r="B8" s="68"/>
      <c r="C8" s="66"/>
      <c r="D8" s="57" t="s">
        <v>28</v>
      </c>
      <c r="E8" s="87"/>
      <c r="F8" s="57"/>
      <c r="G8" s="41">
        <f>G6/G7</f>
        <v>0.70555032925682037</v>
      </c>
    </row>
    <row r="9" spans="2:11" x14ac:dyDescent="0.25">
      <c r="B9" s="68"/>
      <c r="C9" s="66"/>
      <c r="D9" s="56" t="s">
        <v>37</v>
      </c>
      <c r="E9" s="87"/>
      <c r="F9" s="56"/>
      <c r="G9" s="41">
        <f>1-G8</f>
        <v>0.29444967074317963</v>
      </c>
    </row>
    <row r="10" spans="2:11" x14ac:dyDescent="0.25">
      <c r="B10" s="68"/>
      <c r="C10" s="66"/>
      <c r="D10" s="57" t="s">
        <v>29</v>
      </c>
      <c r="E10" s="87"/>
      <c r="F10" s="57"/>
      <c r="G10" s="40">
        <v>1512</v>
      </c>
    </row>
    <row r="11" spans="2:11" x14ac:dyDescent="0.25">
      <c r="B11" s="68"/>
      <c r="C11" s="66"/>
      <c r="D11" s="57" t="s">
        <v>30</v>
      </c>
      <c r="E11" s="87"/>
      <c r="F11" s="57"/>
      <c r="G11" s="40">
        <v>2020</v>
      </c>
    </row>
    <row r="12" spans="2:11" x14ac:dyDescent="0.25">
      <c r="B12" s="68"/>
      <c r="C12" s="66"/>
      <c r="D12" s="57" t="s">
        <v>31</v>
      </c>
      <c r="E12" s="87"/>
      <c r="F12" s="57"/>
      <c r="G12" s="41">
        <f>G10/G11</f>
        <v>0.74851485148514851</v>
      </c>
    </row>
    <row r="13" spans="2:11" x14ac:dyDescent="0.25">
      <c r="B13" s="68"/>
      <c r="C13" s="66"/>
      <c r="D13" s="56" t="s">
        <v>38</v>
      </c>
      <c r="E13" s="87"/>
      <c r="F13" s="56"/>
      <c r="G13" s="41">
        <f>1-G12</f>
        <v>0.25148514851485149</v>
      </c>
    </row>
    <row r="14" spans="2:11" x14ac:dyDescent="0.25">
      <c r="B14" s="68"/>
      <c r="C14" s="66"/>
      <c r="D14" s="57" t="s">
        <v>34</v>
      </c>
      <c r="E14" s="87"/>
      <c r="F14" s="56"/>
      <c r="G14" s="39">
        <v>0.05</v>
      </c>
    </row>
    <row r="15" spans="2:11" ht="15.75" thickBot="1" x14ac:dyDescent="0.3">
      <c r="B15" s="68"/>
      <c r="C15" s="66"/>
      <c r="D15" s="57" t="s">
        <v>35</v>
      </c>
      <c r="E15" s="88"/>
      <c r="F15" s="57"/>
      <c r="G15" s="41">
        <f>G8-G12</f>
        <v>-4.2964522228328139E-2</v>
      </c>
    </row>
    <row r="16" spans="2:11" x14ac:dyDescent="0.25">
      <c r="B16" s="68"/>
      <c r="C16" s="66"/>
      <c r="E16" s="57"/>
      <c r="F16" s="57"/>
      <c r="G16" s="43"/>
    </row>
    <row r="17" spans="2:7" x14ac:dyDescent="0.25">
      <c r="B17" s="68"/>
      <c r="C17" s="71" t="s">
        <v>0</v>
      </c>
      <c r="D17" s="57" t="s">
        <v>32</v>
      </c>
      <c r="E17" s="31" t="s">
        <v>144</v>
      </c>
      <c r="F17" s="57"/>
      <c r="G17" s="41">
        <f>(G6+G10)/(G7+G11)</f>
        <v>0.72648335745296666</v>
      </c>
    </row>
    <row r="18" spans="2:7" x14ac:dyDescent="0.25">
      <c r="B18" s="68"/>
      <c r="C18" s="71"/>
      <c r="D18" s="57" t="s">
        <v>33</v>
      </c>
      <c r="E18" s="31" t="s">
        <v>145</v>
      </c>
      <c r="F18" s="57"/>
      <c r="G18" s="41">
        <f>1-G17</f>
        <v>0.27351664254703334</v>
      </c>
    </row>
    <row r="19" spans="2:7" x14ac:dyDescent="0.25">
      <c r="B19" s="68"/>
      <c r="C19" s="22"/>
      <c r="D19" s="56"/>
      <c r="E19" s="56"/>
      <c r="F19" s="12"/>
      <c r="G19" s="38"/>
    </row>
    <row r="20" spans="2:7" x14ac:dyDescent="0.25">
      <c r="B20" s="68"/>
      <c r="C20" s="23" t="s">
        <v>0</v>
      </c>
      <c r="D20" s="57" t="s">
        <v>17</v>
      </c>
      <c r="E20" s="31" t="s">
        <v>146</v>
      </c>
      <c r="F20" s="57"/>
      <c r="G20" s="41">
        <f>((G8-G12)-G3)/SQRT((G17*G18)*((1/G7)+(1/G11)))</f>
        <v>-3.1020438982303444</v>
      </c>
    </row>
    <row r="21" spans="2:7" x14ac:dyDescent="0.25">
      <c r="B21" s="68"/>
      <c r="C21" s="23"/>
      <c r="D21" s="56"/>
      <c r="E21" s="58"/>
      <c r="F21" s="12"/>
      <c r="G21" s="43"/>
    </row>
    <row r="22" spans="2:7" x14ac:dyDescent="0.25">
      <c r="B22" s="68"/>
      <c r="C22" s="23" t="s">
        <v>0</v>
      </c>
      <c r="D22" s="57" t="s">
        <v>18</v>
      </c>
      <c r="E22" s="31" t="s">
        <v>147</v>
      </c>
      <c r="F22" s="57"/>
      <c r="G22" s="41">
        <f>_xlfn.NORM.S.DIST(G20,1)</f>
        <v>9.6094728071490323E-4</v>
      </c>
    </row>
    <row r="23" spans="2:7" x14ac:dyDescent="0.25">
      <c r="B23" s="68"/>
      <c r="D23"/>
      <c r="E23" s="59"/>
      <c r="G23" s="43"/>
    </row>
    <row r="24" spans="2:7" x14ac:dyDescent="0.25">
      <c r="B24" s="68"/>
      <c r="C24" s="23" t="s">
        <v>0</v>
      </c>
      <c r="D24" s="57" t="s">
        <v>6</v>
      </c>
      <c r="E24" s="31" t="s">
        <v>148</v>
      </c>
      <c r="F24" s="12"/>
      <c r="G24" s="41">
        <f>_xlfn.NORM.S.INV(G14)</f>
        <v>-1.6448536269514726</v>
      </c>
    </row>
    <row r="25" spans="2:7" x14ac:dyDescent="0.25">
      <c r="B25" s="68"/>
      <c r="C25" s="60"/>
      <c r="D25" s="56"/>
      <c r="E25" s="32"/>
      <c r="F25" s="12"/>
      <c r="G25" s="43"/>
    </row>
    <row r="26" spans="2:7" x14ac:dyDescent="0.25">
      <c r="B26" s="68"/>
      <c r="C26" s="23" t="s">
        <v>0</v>
      </c>
      <c r="D26" s="57" t="s">
        <v>7</v>
      </c>
      <c r="E26" s="31" t="s">
        <v>149</v>
      </c>
      <c r="F26" s="12"/>
      <c r="G26" s="41">
        <f>ABS(G24)*SQRT(G8*G9/G7+G12*G13/G11)</f>
        <v>2.2726769455551767E-2</v>
      </c>
    </row>
    <row r="27" spans="2:7" ht="15.75" thickBot="1" x14ac:dyDescent="0.3">
      <c r="B27" s="68"/>
      <c r="C27" s="60"/>
      <c r="D27" s="56"/>
      <c r="E27" s="56"/>
      <c r="F27" s="12"/>
      <c r="G27" s="38"/>
    </row>
    <row r="28" spans="2:7" ht="15.75" thickBot="1" x14ac:dyDescent="0.3">
      <c r="B28" s="68"/>
      <c r="C28" s="60"/>
      <c r="D28"/>
      <c r="E28" s="33" t="s">
        <v>9</v>
      </c>
      <c r="F28" s="8"/>
      <c r="G28" s="9" t="s">
        <v>10</v>
      </c>
    </row>
    <row r="29" spans="2:7" ht="15.75" thickBot="1" x14ac:dyDescent="0.3">
      <c r="B29" s="69"/>
      <c r="C29" s="61" t="s">
        <v>0</v>
      </c>
      <c r="D29" s="4" t="s">
        <v>8</v>
      </c>
      <c r="E29" s="34">
        <f>G15-G26</f>
        <v>-6.569129168387991E-2</v>
      </c>
      <c r="F29" s="10"/>
      <c r="G29" s="11">
        <f>G15+G26</f>
        <v>-2.0237752772776372E-2</v>
      </c>
    </row>
  </sheetData>
  <sheetProtection algorithmName="SHA-512" hashValue="/LyweAh1pIhR4N95m0UvI7/caOfKd5gICtxc4DAScyOMzOKblI2XsEtHrW3iROYF2NHaFRt4PiIUhC4zJoCrXQ==" saltValue="1SEo+be3pgawmnyMNewZCw==" spinCount="100000" sheet="1" objects="1" scenarios="1"/>
  <mergeCells count="5">
    <mergeCell ref="B2:B29"/>
    <mergeCell ref="C2:D2"/>
    <mergeCell ref="C3:C4"/>
    <mergeCell ref="C17:C18"/>
    <mergeCell ref="E6:E15"/>
  </mergeCells>
  <dataValidations count="1">
    <dataValidation type="list" allowBlank="1" showInputMessage="1" showErrorMessage="1" sqref="F4" xr:uid="{A6002816-63B7-4F9A-B3C6-8471D5E5BE78}">
      <formula1>$K$1:$K$4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39773-F5F7-4F1A-985D-A4222E6C6D96}">
  <dimension ref="A1:C76"/>
  <sheetViews>
    <sheetView tabSelected="1" topLeftCell="B1" workbookViewId="0">
      <selection activeCell="G28" sqref="G28"/>
    </sheetView>
  </sheetViews>
  <sheetFormatPr defaultRowHeight="15" x14ac:dyDescent="0.25"/>
  <cols>
    <col min="1" max="1" width="27.28515625" bestFit="1" customWidth="1"/>
    <col min="2" max="2" width="7.5703125" bestFit="1" customWidth="1"/>
    <col min="3" max="3" width="10.5703125" bestFit="1" customWidth="1"/>
  </cols>
  <sheetData>
    <row r="1" spans="1:3" x14ac:dyDescent="0.25">
      <c r="A1" t="s">
        <v>39</v>
      </c>
      <c r="B1" t="s">
        <v>40</v>
      </c>
      <c r="C1" t="s">
        <v>41</v>
      </c>
    </row>
    <row r="2" spans="1:3" x14ac:dyDescent="0.25">
      <c r="A2" t="s">
        <v>42</v>
      </c>
      <c r="B2">
        <v>300</v>
      </c>
      <c r="C2">
        <v>93</v>
      </c>
    </row>
    <row r="3" spans="1:3" x14ac:dyDescent="0.25">
      <c r="A3" t="s">
        <v>43</v>
      </c>
      <c r="B3">
        <v>255</v>
      </c>
      <c r="C3">
        <v>85</v>
      </c>
    </row>
    <row r="4" spans="1:3" x14ac:dyDescent="0.25">
      <c r="A4" t="s">
        <v>44</v>
      </c>
      <c r="B4">
        <v>255</v>
      </c>
      <c r="C4">
        <v>85</v>
      </c>
    </row>
    <row r="5" spans="1:3" x14ac:dyDescent="0.25">
      <c r="A5" t="s">
        <v>45</v>
      </c>
      <c r="B5">
        <v>228</v>
      </c>
      <c r="C5">
        <v>82</v>
      </c>
    </row>
    <row r="6" spans="1:3" x14ac:dyDescent="0.25">
      <c r="A6" t="s">
        <v>46</v>
      </c>
      <c r="B6">
        <v>130</v>
      </c>
      <c r="C6">
        <v>82</v>
      </c>
    </row>
    <row r="7" spans="1:3" x14ac:dyDescent="0.25">
      <c r="A7" t="s">
        <v>47</v>
      </c>
      <c r="B7">
        <v>225</v>
      </c>
      <c r="C7">
        <v>80</v>
      </c>
    </row>
    <row r="8" spans="1:3" x14ac:dyDescent="0.25">
      <c r="A8" t="s">
        <v>48</v>
      </c>
      <c r="B8">
        <v>133</v>
      </c>
      <c r="C8">
        <v>80</v>
      </c>
    </row>
    <row r="9" spans="1:3" x14ac:dyDescent="0.25">
      <c r="A9" t="s">
        <v>49</v>
      </c>
      <c r="B9">
        <v>215</v>
      </c>
      <c r="C9">
        <v>80</v>
      </c>
    </row>
    <row r="10" spans="1:3" x14ac:dyDescent="0.25">
      <c r="A10" t="s">
        <v>45</v>
      </c>
      <c r="B10">
        <v>225</v>
      </c>
      <c r="C10">
        <v>80</v>
      </c>
    </row>
    <row r="11" spans="1:3" x14ac:dyDescent="0.25">
      <c r="A11" t="s">
        <v>50</v>
      </c>
      <c r="B11">
        <v>214</v>
      </c>
      <c r="C11">
        <v>78.400000000000006</v>
      </c>
    </row>
    <row r="12" spans="1:3" x14ac:dyDescent="0.25">
      <c r="A12" t="s">
        <v>51</v>
      </c>
      <c r="B12">
        <v>221</v>
      </c>
      <c r="C12">
        <v>77</v>
      </c>
    </row>
    <row r="13" spans="1:3" x14ac:dyDescent="0.25">
      <c r="A13" t="s">
        <v>52</v>
      </c>
      <c r="B13">
        <v>215</v>
      </c>
      <c r="C13">
        <v>76</v>
      </c>
    </row>
    <row r="14" spans="1:3" x14ac:dyDescent="0.25">
      <c r="A14" t="s">
        <v>53</v>
      </c>
      <c r="B14">
        <v>205</v>
      </c>
      <c r="C14">
        <v>75</v>
      </c>
    </row>
    <row r="15" spans="1:3" x14ac:dyDescent="0.25">
      <c r="A15" t="s">
        <v>54</v>
      </c>
      <c r="B15">
        <v>205</v>
      </c>
      <c r="C15">
        <v>75</v>
      </c>
    </row>
    <row r="16" spans="1:3" x14ac:dyDescent="0.25">
      <c r="A16" t="s">
        <v>55</v>
      </c>
      <c r="B16">
        <v>196</v>
      </c>
      <c r="C16">
        <v>74</v>
      </c>
    </row>
    <row r="17" spans="1:3" x14ac:dyDescent="0.25">
      <c r="A17" t="s">
        <v>56</v>
      </c>
      <c r="B17">
        <v>210</v>
      </c>
      <c r="C17">
        <v>73</v>
      </c>
    </row>
    <row r="18" spans="1:3" x14ac:dyDescent="0.25">
      <c r="A18" t="s">
        <v>57</v>
      </c>
      <c r="B18">
        <v>208</v>
      </c>
      <c r="C18">
        <v>73</v>
      </c>
    </row>
    <row r="19" spans="1:3" x14ac:dyDescent="0.25">
      <c r="A19" t="s">
        <v>58</v>
      </c>
      <c r="B19">
        <v>166.5</v>
      </c>
      <c r="C19">
        <v>73</v>
      </c>
    </row>
    <row r="20" spans="1:3" x14ac:dyDescent="0.25">
      <c r="A20" t="s">
        <v>51</v>
      </c>
      <c r="B20">
        <v>205</v>
      </c>
      <c r="C20">
        <v>73</v>
      </c>
    </row>
    <row r="21" spans="1:3" x14ac:dyDescent="0.25">
      <c r="A21" t="s">
        <v>59</v>
      </c>
      <c r="B21">
        <v>194.6</v>
      </c>
      <c r="C21">
        <v>72</v>
      </c>
    </row>
    <row r="22" spans="1:3" x14ac:dyDescent="0.25">
      <c r="A22" t="s">
        <v>60</v>
      </c>
      <c r="B22">
        <v>171</v>
      </c>
      <c r="C22">
        <v>70</v>
      </c>
    </row>
    <row r="23" spans="1:3" x14ac:dyDescent="0.25">
      <c r="A23" t="s">
        <v>61</v>
      </c>
      <c r="B23">
        <v>80</v>
      </c>
      <c r="C23">
        <v>70</v>
      </c>
    </row>
    <row r="24" spans="1:3" x14ac:dyDescent="0.25">
      <c r="A24" t="s">
        <v>62</v>
      </c>
      <c r="B24">
        <v>155</v>
      </c>
      <c r="C24">
        <v>68</v>
      </c>
    </row>
    <row r="25" spans="1:3" x14ac:dyDescent="0.25">
      <c r="A25" t="s">
        <v>63</v>
      </c>
      <c r="B25">
        <v>170</v>
      </c>
      <c r="C25">
        <v>67</v>
      </c>
    </row>
    <row r="26" spans="1:3" x14ac:dyDescent="0.25">
      <c r="A26" t="s">
        <v>64</v>
      </c>
      <c r="B26">
        <v>105</v>
      </c>
      <c r="C26">
        <v>67</v>
      </c>
    </row>
    <row r="27" spans="1:3" x14ac:dyDescent="0.25">
      <c r="A27" t="s">
        <v>65</v>
      </c>
      <c r="B27">
        <v>144</v>
      </c>
      <c r="C27">
        <v>67</v>
      </c>
    </row>
    <row r="28" spans="1:3" x14ac:dyDescent="0.25">
      <c r="A28" t="s">
        <v>66</v>
      </c>
      <c r="B28">
        <v>150</v>
      </c>
      <c r="C28">
        <v>66.3</v>
      </c>
    </row>
    <row r="29" spans="1:3" x14ac:dyDescent="0.25">
      <c r="A29" t="s">
        <v>67</v>
      </c>
      <c r="B29">
        <v>147</v>
      </c>
      <c r="C29">
        <v>66</v>
      </c>
    </row>
    <row r="30" spans="1:3" x14ac:dyDescent="0.25">
      <c r="A30" t="s">
        <v>68</v>
      </c>
      <c r="B30">
        <v>155</v>
      </c>
      <c r="C30">
        <v>66</v>
      </c>
    </row>
    <row r="31" spans="1:3" x14ac:dyDescent="0.25">
      <c r="A31" t="s">
        <v>69</v>
      </c>
      <c r="B31">
        <v>177</v>
      </c>
      <c r="C31">
        <v>65.599999999999994</v>
      </c>
    </row>
    <row r="32" spans="1:3" x14ac:dyDescent="0.25">
      <c r="A32" t="s">
        <v>70</v>
      </c>
      <c r="B32">
        <v>148</v>
      </c>
      <c r="C32">
        <v>65</v>
      </c>
    </row>
    <row r="33" spans="1:3" x14ac:dyDescent="0.25">
      <c r="A33" t="s">
        <v>71</v>
      </c>
      <c r="B33">
        <v>151</v>
      </c>
      <c r="C33">
        <v>65</v>
      </c>
    </row>
    <row r="34" spans="1:3" x14ac:dyDescent="0.25">
      <c r="A34" t="s">
        <v>72</v>
      </c>
      <c r="B34">
        <v>144</v>
      </c>
      <c r="C34">
        <v>65</v>
      </c>
    </row>
    <row r="35" spans="1:3" x14ac:dyDescent="0.25">
      <c r="A35" t="s">
        <v>73</v>
      </c>
      <c r="B35">
        <v>155</v>
      </c>
      <c r="C35">
        <v>65</v>
      </c>
    </row>
    <row r="36" spans="1:3" x14ac:dyDescent="0.25">
      <c r="A36" t="s">
        <v>74</v>
      </c>
      <c r="B36">
        <v>150</v>
      </c>
      <c r="C36">
        <v>65</v>
      </c>
    </row>
    <row r="37" spans="1:3" x14ac:dyDescent="0.25">
      <c r="A37" t="s">
        <v>75</v>
      </c>
      <c r="B37">
        <v>115</v>
      </c>
      <c r="C37">
        <v>65</v>
      </c>
    </row>
    <row r="38" spans="1:3" x14ac:dyDescent="0.25">
      <c r="A38" t="s">
        <v>58</v>
      </c>
      <c r="B38">
        <v>124</v>
      </c>
      <c r="C38">
        <v>65</v>
      </c>
    </row>
    <row r="39" spans="1:3" x14ac:dyDescent="0.25">
      <c r="A39" t="s">
        <v>76</v>
      </c>
      <c r="B39">
        <v>146</v>
      </c>
      <c r="C39">
        <v>65</v>
      </c>
    </row>
    <row r="40" spans="1:3" x14ac:dyDescent="0.25">
      <c r="A40" t="s">
        <v>77</v>
      </c>
      <c r="B40">
        <v>150</v>
      </c>
      <c r="C40">
        <v>65</v>
      </c>
    </row>
    <row r="41" spans="1:3" x14ac:dyDescent="0.25">
      <c r="A41" t="s">
        <v>78</v>
      </c>
      <c r="B41">
        <v>137</v>
      </c>
      <c r="C41">
        <v>65</v>
      </c>
    </row>
    <row r="42" spans="1:3" x14ac:dyDescent="0.25">
      <c r="A42" t="s">
        <v>79</v>
      </c>
      <c r="B42">
        <v>141</v>
      </c>
      <c r="C42">
        <v>64.8</v>
      </c>
    </row>
    <row r="43" spans="1:3" x14ac:dyDescent="0.25">
      <c r="A43" t="s">
        <v>80</v>
      </c>
      <c r="B43">
        <v>144</v>
      </c>
      <c r="C43">
        <v>63</v>
      </c>
    </row>
    <row r="44" spans="1:3" x14ac:dyDescent="0.25">
      <c r="A44" t="s">
        <v>81</v>
      </c>
      <c r="B44">
        <v>141</v>
      </c>
      <c r="C44">
        <v>63</v>
      </c>
    </row>
    <row r="45" spans="1:3" x14ac:dyDescent="0.25">
      <c r="A45" t="s">
        <v>82</v>
      </c>
      <c r="B45">
        <v>128</v>
      </c>
      <c r="C45">
        <v>63</v>
      </c>
    </row>
    <row r="46" spans="1:3" x14ac:dyDescent="0.25">
      <c r="A46" t="s">
        <v>83</v>
      </c>
      <c r="B46">
        <v>115</v>
      </c>
      <c r="C46">
        <v>62</v>
      </c>
    </row>
    <row r="47" spans="1:3" x14ac:dyDescent="0.25">
      <c r="A47" t="s">
        <v>84</v>
      </c>
      <c r="B47">
        <v>92</v>
      </c>
      <c r="C47">
        <v>62</v>
      </c>
    </row>
    <row r="48" spans="1:3" x14ac:dyDescent="0.25">
      <c r="A48" t="s">
        <v>85</v>
      </c>
      <c r="B48">
        <v>95</v>
      </c>
      <c r="C48">
        <v>55</v>
      </c>
    </row>
    <row r="49" spans="1:3" x14ac:dyDescent="0.25">
      <c r="A49" t="s">
        <v>86</v>
      </c>
      <c r="B49">
        <v>100</v>
      </c>
      <c r="C49">
        <v>55</v>
      </c>
    </row>
    <row r="50" spans="1:3" x14ac:dyDescent="0.25">
      <c r="A50" t="s">
        <v>87</v>
      </c>
      <c r="B50">
        <v>138</v>
      </c>
      <c r="C50">
        <v>55</v>
      </c>
    </row>
    <row r="51" spans="1:3" x14ac:dyDescent="0.25">
      <c r="A51" t="s">
        <v>88</v>
      </c>
      <c r="B51">
        <v>90</v>
      </c>
      <c r="C51">
        <v>55</v>
      </c>
    </row>
    <row r="52" spans="1:3" x14ac:dyDescent="0.25">
      <c r="A52" t="s">
        <v>89</v>
      </c>
      <c r="B52">
        <v>95</v>
      </c>
      <c r="C52">
        <v>55</v>
      </c>
    </row>
    <row r="53" spans="1:3" x14ac:dyDescent="0.25">
      <c r="A53" t="s">
        <v>90</v>
      </c>
      <c r="B53">
        <v>95</v>
      </c>
      <c r="C53">
        <v>55</v>
      </c>
    </row>
    <row r="54" spans="1:3" x14ac:dyDescent="0.25">
      <c r="A54" t="s">
        <v>91</v>
      </c>
      <c r="B54">
        <v>75</v>
      </c>
      <c r="C54">
        <v>55</v>
      </c>
    </row>
    <row r="55" spans="1:3" x14ac:dyDescent="0.25">
      <c r="A55" t="s">
        <v>92</v>
      </c>
      <c r="B55">
        <v>76</v>
      </c>
      <c r="C55">
        <v>55</v>
      </c>
    </row>
    <row r="56" spans="1:3" x14ac:dyDescent="0.25">
      <c r="A56" t="s">
        <v>93</v>
      </c>
      <c r="B56">
        <v>95</v>
      </c>
      <c r="C56">
        <v>55</v>
      </c>
    </row>
    <row r="57" spans="1:3" x14ac:dyDescent="0.25">
      <c r="A57" t="s">
        <v>94</v>
      </c>
      <c r="B57">
        <v>95</v>
      </c>
      <c r="C57">
        <v>55</v>
      </c>
    </row>
    <row r="58" spans="1:3" x14ac:dyDescent="0.25">
      <c r="A58" t="s">
        <v>95</v>
      </c>
      <c r="B58">
        <v>95</v>
      </c>
      <c r="C58">
        <v>53</v>
      </c>
    </row>
    <row r="59" spans="1:3" x14ac:dyDescent="0.25">
      <c r="A59" t="s">
        <v>96</v>
      </c>
      <c r="B59">
        <v>88</v>
      </c>
      <c r="C59">
        <v>53</v>
      </c>
    </row>
    <row r="60" spans="1:3" x14ac:dyDescent="0.25">
      <c r="A60" t="s">
        <v>97</v>
      </c>
      <c r="B60">
        <v>90</v>
      </c>
      <c r="C60">
        <v>52</v>
      </c>
    </row>
    <row r="61" spans="1:3" x14ac:dyDescent="0.25">
      <c r="A61" t="s">
        <v>98</v>
      </c>
      <c r="B61">
        <v>70</v>
      </c>
      <c r="C61">
        <v>50</v>
      </c>
    </row>
    <row r="62" spans="1:3" x14ac:dyDescent="0.25">
      <c r="A62" t="s">
        <v>99</v>
      </c>
      <c r="B62">
        <v>52</v>
      </c>
      <c r="C62">
        <v>50</v>
      </c>
    </row>
    <row r="63" spans="1:3" x14ac:dyDescent="0.25">
      <c r="A63" t="s">
        <v>100</v>
      </c>
      <c r="B63">
        <v>78</v>
      </c>
      <c r="C63">
        <v>50</v>
      </c>
    </row>
    <row r="64" spans="1:3" x14ac:dyDescent="0.25">
      <c r="A64" t="s">
        <v>101</v>
      </c>
      <c r="B64">
        <v>75</v>
      </c>
      <c r="C64">
        <v>47</v>
      </c>
    </row>
    <row r="65" spans="1:3" x14ac:dyDescent="0.25">
      <c r="A65" t="s">
        <v>102</v>
      </c>
      <c r="B65">
        <v>62</v>
      </c>
      <c r="C65">
        <v>46</v>
      </c>
    </row>
    <row r="66" spans="1:3" x14ac:dyDescent="0.25">
      <c r="A66" t="s">
        <v>103</v>
      </c>
      <c r="B66">
        <v>47</v>
      </c>
      <c r="C66">
        <v>45</v>
      </c>
    </row>
    <row r="67" spans="1:3" x14ac:dyDescent="0.25">
      <c r="A67" t="s">
        <v>104</v>
      </c>
      <c r="B67">
        <v>64</v>
      </c>
      <c r="C67">
        <v>42</v>
      </c>
    </row>
    <row r="68" spans="1:3" x14ac:dyDescent="0.25">
      <c r="A68" t="s">
        <v>105</v>
      </c>
      <c r="B68">
        <v>66</v>
      </c>
      <c r="C68">
        <v>41</v>
      </c>
    </row>
    <row r="69" spans="1:3" x14ac:dyDescent="0.25">
      <c r="A69" t="s">
        <v>106</v>
      </c>
      <c r="B69">
        <v>72</v>
      </c>
      <c r="C69">
        <v>40</v>
      </c>
    </row>
    <row r="70" spans="1:3" x14ac:dyDescent="0.25">
      <c r="A70" t="s">
        <v>107</v>
      </c>
      <c r="B70">
        <v>306.75</v>
      </c>
      <c r="C70">
        <v>95</v>
      </c>
    </row>
    <row r="71" spans="1:3" x14ac:dyDescent="0.25">
      <c r="A71" t="s">
        <v>108</v>
      </c>
      <c r="B71">
        <v>218.1</v>
      </c>
      <c r="C71">
        <v>80.8</v>
      </c>
    </row>
    <row r="72" spans="1:3" x14ac:dyDescent="0.25">
      <c r="A72" t="s">
        <v>44</v>
      </c>
      <c r="B72">
        <v>178</v>
      </c>
      <c r="C72">
        <v>71.5</v>
      </c>
    </row>
    <row r="73" spans="1:3" x14ac:dyDescent="0.25">
      <c r="A73" t="s">
        <v>109</v>
      </c>
      <c r="B73">
        <v>180</v>
      </c>
      <c r="C73">
        <v>68</v>
      </c>
    </row>
    <row r="74" spans="1:3" x14ac:dyDescent="0.25">
      <c r="A74" t="s">
        <v>110</v>
      </c>
      <c r="B74">
        <v>177</v>
      </c>
      <c r="C74">
        <v>65.599999999999994</v>
      </c>
    </row>
    <row r="75" spans="1:3" x14ac:dyDescent="0.25">
      <c r="A75" t="s">
        <v>111</v>
      </c>
      <c r="B75">
        <v>124.67</v>
      </c>
      <c r="C75">
        <v>60.3</v>
      </c>
    </row>
    <row r="76" spans="1:3" x14ac:dyDescent="0.25">
      <c r="A76" t="s">
        <v>112</v>
      </c>
      <c r="B76">
        <v>93</v>
      </c>
      <c r="C76">
        <v>56</v>
      </c>
    </row>
  </sheetData>
  <sheetProtection sheet="1" scenarios="1" pivotTables="0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Chapter 10 - Z-Test</vt:lpstr>
      <vt:lpstr>Chapter 10 - T-Test</vt:lpstr>
      <vt:lpstr>Chapter 11 - 2-Sample T-Test</vt:lpstr>
      <vt:lpstr>Chapter 11 - 2-Sample Z-Test</vt:lpstr>
      <vt:lpstr>Chapter 12 - 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Kimberly Brehm</dc:creator>
  <cp:lastModifiedBy>Wade Eckert</cp:lastModifiedBy>
  <dcterms:created xsi:type="dcterms:W3CDTF">2023-12-01T21:20:13Z</dcterms:created>
  <dcterms:modified xsi:type="dcterms:W3CDTF">2025-05-19T05:33:09Z</dcterms:modified>
</cp:coreProperties>
</file>