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a0534719079248d/Desktop/Spring 2025 Term/Statistics/Unit Projects/Unit 3 Project/"/>
    </mc:Choice>
  </mc:AlternateContent>
  <xr:revisionPtr revIDLastSave="44" documentId="13_ncr:1_{26ECC41F-DFE3-44C8-AC51-EF2A013820A1}" xr6:coauthVersionLast="47" xr6:coauthVersionMax="47" xr10:uidLastSave="{F51EE13E-95F6-4B03-B99C-72B400108BAE}"/>
  <workbookProtection workbookAlgorithmName="SHA-512" workbookHashValue="8m4JY79Bq8bJ34+7JrLqZwmiBvmcEiUhkZPgAe+4MftS42/qGyltDiy73fGMBJcBZeMVz74LJpQX6mvVyQLuXA==" workbookSaltValue="ljqxwmHfoIwVOJfbeZ8JYg==" workbookSpinCount="100000" lockStructure="1"/>
  <bookViews>
    <workbookView xWindow="-120" yWindow="-120" windowWidth="29040" windowHeight="15840" firstSheet="2" activeTab="3" xr2:uid="{47A15E7B-7C16-4676-90D5-750FA9501E03}"/>
  </bookViews>
  <sheets>
    <sheet name="Chapter 7" sheetId="1" r:id="rId1"/>
    <sheet name="Chapter 8 - Means" sheetId="3" r:id="rId2"/>
    <sheet name="Chapter 8 - Proportions" sheetId="4" r:id="rId3"/>
    <sheet name="Chaper 9 - Two Sampl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3" i="5" l="1"/>
  <c r="H33" i="5"/>
  <c r="J30" i="5"/>
  <c r="J28" i="5"/>
  <c r="J26" i="5"/>
  <c r="J24" i="5"/>
  <c r="J22" i="5"/>
  <c r="J21" i="5"/>
  <c r="J19" i="5"/>
  <c r="J18" i="5"/>
  <c r="J14" i="5"/>
  <c r="H14" i="5"/>
  <c r="J11" i="5"/>
  <c r="J9" i="5"/>
  <c r="J7" i="5"/>
  <c r="J5" i="5"/>
  <c r="J3" i="5"/>
  <c r="J4" i="5"/>
  <c r="C8" i="5"/>
  <c r="G15" i="4"/>
  <c r="E15" i="4"/>
  <c r="G12" i="4"/>
  <c r="G10" i="4"/>
  <c r="G8" i="4"/>
  <c r="G6" i="4"/>
  <c r="G5" i="4"/>
  <c r="H29" i="3"/>
  <c r="F29" i="3"/>
  <c r="H26" i="3"/>
  <c r="H22" i="3"/>
  <c r="H24" i="3"/>
  <c r="H20" i="3"/>
  <c r="H19" i="3"/>
  <c r="H18" i="3"/>
  <c r="H14" i="3"/>
  <c r="F14" i="3"/>
  <c r="H11" i="3"/>
  <c r="H7" i="3"/>
  <c r="H9" i="3"/>
  <c r="H19" i="1" l="1"/>
  <c r="H16" i="1"/>
  <c r="H21" i="1" l="1"/>
  <c r="H10" i="1"/>
  <c r="H8" i="1"/>
  <c r="H5" i="1" l="1"/>
  <c r="H3" i="1"/>
  <c r="C16" i="5"/>
  <c r="C3" i="5"/>
  <c r="C4" i="5"/>
  <c r="C5" i="5"/>
  <c r="C6" i="5"/>
  <c r="C7" i="5"/>
  <c r="C9" i="5"/>
  <c r="C10" i="5"/>
  <c r="C11" i="5"/>
  <c r="C12" i="5"/>
  <c r="C13" i="5"/>
  <c r="C14" i="5"/>
  <c r="C15" i="5"/>
  <c r="C2" i="5"/>
</calcChain>
</file>

<file path=xl/sharedStrings.xml><?xml version="1.0" encoding="utf-8"?>
<sst xmlns="http://schemas.openxmlformats.org/spreadsheetml/2006/main" count="164" uniqueCount="73">
  <si>
    <t>1 pt</t>
  </si>
  <si>
    <t>1-p</t>
  </si>
  <si>
    <t>Sample Size (n)</t>
  </si>
  <si>
    <t>Sample Proportion (p-hat)</t>
  </si>
  <si>
    <t>Expected Proportion (p)</t>
  </si>
  <si>
    <t>2 pts</t>
  </si>
  <si>
    <t>Z-Score</t>
  </si>
  <si>
    <t xml:space="preserve">Probability </t>
  </si>
  <si>
    <t>Chapter 7 - Proportions</t>
  </si>
  <si>
    <t>Chapter 7 - Means</t>
  </si>
  <si>
    <t>Sample Mean (x-bar)</t>
  </si>
  <si>
    <t>Expected Mean (mu)</t>
  </si>
  <si>
    <t>Sample Standard Deviation (s)</t>
  </si>
  <si>
    <t xml:space="preserve">Input </t>
  </si>
  <si>
    <t>Output</t>
  </si>
  <si>
    <t>Input</t>
  </si>
  <si>
    <t>Word Count</t>
  </si>
  <si>
    <t>Question 1</t>
  </si>
  <si>
    <t>Question 2</t>
  </si>
  <si>
    <t>Chapter 8 - Means (Summary Stats)</t>
  </si>
  <si>
    <t>Question 3</t>
  </si>
  <si>
    <t>Question 5</t>
  </si>
  <si>
    <t>Face value of Life Ins.</t>
  </si>
  <si>
    <t>Critical Value</t>
  </si>
  <si>
    <t>Margin of Error</t>
  </si>
  <si>
    <t xml:space="preserve">Confidence Interval </t>
  </si>
  <si>
    <t>Lower Limit</t>
  </si>
  <si>
    <t>Upper Limit</t>
  </si>
  <si>
    <t>Question 7</t>
  </si>
  <si>
    <t>Number favorable (x)</t>
  </si>
  <si>
    <t>p-hat</t>
  </si>
  <si>
    <t>1-(p-hat)</t>
  </si>
  <si>
    <t>Chapter 8 Proportions</t>
  </si>
  <si>
    <t>Chapter 8 - Proportions</t>
  </si>
  <si>
    <t>Chapter 9 - Two Samples (Means - Data)</t>
  </si>
  <si>
    <t>Pre-Test</t>
  </si>
  <si>
    <t>Post-Test</t>
  </si>
  <si>
    <t>Chapter 9 - Two Samples (Proportions)</t>
  </si>
  <si>
    <t>Point Estimate</t>
  </si>
  <si>
    <t>Standard Deviation (s)</t>
  </si>
  <si>
    <t>p-hat 1 (Graduates)</t>
  </si>
  <si>
    <t>Sample Size (n1)</t>
  </si>
  <si>
    <t>Sample Size (n2)</t>
  </si>
  <si>
    <t>1 - (p-hat 1)</t>
  </si>
  <si>
    <t>1 - (p-hat 2)</t>
  </si>
  <si>
    <t>Standard Deviation (σ or s)</t>
  </si>
  <si>
    <t>Standard Error</t>
  </si>
  <si>
    <t>Difference</t>
  </si>
  <si>
    <t xml:space="preserve">Lower Limit </t>
  </si>
  <si>
    <t>Question 4</t>
  </si>
  <si>
    <t>Question 6</t>
  </si>
  <si>
    <t>Question 8</t>
  </si>
  <si>
    <t>These outputs are ungraded but should be used in the calculation of the graded values below.</t>
  </si>
  <si>
    <t>These outputs are ungraded but should be used in the calculation of the graded items below.</t>
  </si>
  <si>
    <t>p-hat 2 (Dropouts)</t>
  </si>
  <si>
    <t>=(H3-H4)/SQRT(H4*(H5)/H6)</t>
  </si>
  <si>
    <t>=1-NORM.S.DIST(H8,1)</t>
  </si>
  <si>
    <t>=2*NORM.S.DIST(H19,1)</t>
  </si>
  <si>
    <t>=(H14-H15)/(H16/SQRT(H17))</t>
  </si>
  <si>
    <t>=NORM.S.INV(0.9+(1-0.9)/2)</t>
  </si>
  <si>
    <t>=H4/SQRT(H5)</t>
  </si>
  <si>
    <t>=H7*H9</t>
  </si>
  <si>
    <t>=T.INV.2T(1-0.95,H20-1)</t>
  </si>
  <si>
    <t>=H19/SQRT(H20)</t>
  </si>
  <si>
    <t>=H22*H24</t>
  </si>
  <si>
    <t>=SQRT((G5*G6)/G4)</t>
  </si>
  <si>
    <t>=NORM.S.INV(0.95+((1-0.95)/2))</t>
  </si>
  <si>
    <t>=G8*G10</t>
  </si>
  <si>
    <t>=J4/SQRT(J5)</t>
  </si>
  <si>
    <t>=T.INV.2T(1-0.9,J5-1)</t>
  </si>
  <si>
    <t>=J7*J9</t>
  </si>
  <si>
    <t xml:space="preserve"> =SQRT(((J18*J19)/J20)+((J21*J22)/J23))</t>
  </si>
  <si>
    <t>=J26*J28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</si>
</sst>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&quot;$&quot;#,##0.00"/>
    <numFmt numFmtId="166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DashDot">
        <color indexed="64"/>
      </left>
      <right style="mediumDashDot">
        <color indexed="64"/>
      </right>
      <top style="mediumDashDot">
        <color indexed="64"/>
      </top>
      <bottom/>
      <diagonal/>
    </border>
    <border>
      <left style="mediumDashDot">
        <color indexed="64"/>
      </left>
      <right style="mediumDashDot">
        <color indexed="64"/>
      </right>
      <top/>
      <bottom/>
      <diagonal/>
    </border>
    <border>
      <left style="mediumDashDot">
        <color indexed="64"/>
      </left>
      <right style="mediumDashDot">
        <color indexed="64"/>
      </right>
      <top/>
      <bottom style="medium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Alignment="1">
      <alignment horizontal="center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49" fontId="0" fillId="0" borderId="0" xfId="0" applyNumberFormat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2" borderId="3" xfId="0" applyNumberFormat="1" applyFill="1" applyBorder="1" applyAlignment="1" applyProtection="1">
      <alignment horizontal="center"/>
      <protection locked="0"/>
    </xf>
    <xf numFmtId="1" fontId="0" fillId="2" borderId="3" xfId="0" applyNumberFormat="1" applyFill="1" applyBorder="1" applyAlignment="1" applyProtection="1">
      <alignment horizontal="center"/>
      <protection locked="0"/>
    </xf>
    <xf numFmtId="49" fontId="0" fillId="2" borderId="0" xfId="0" applyNumberFormat="1" applyFill="1" applyAlignment="1" applyProtection="1">
      <alignment horizontal="center"/>
      <protection locked="0"/>
    </xf>
    <xf numFmtId="49" fontId="0" fillId="2" borderId="7" xfId="0" applyNumberFormat="1" applyFill="1" applyBorder="1" applyAlignment="1" applyProtection="1">
      <alignment horizontal="center"/>
      <protection locked="0"/>
    </xf>
    <xf numFmtId="164" fontId="0" fillId="2" borderId="5" xfId="0" applyNumberFormat="1" applyFill="1" applyBorder="1" applyAlignment="1" applyProtection="1">
      <alignment horizontal="center"/>
      <protection locked="0"/>
    </xf>
    <xf numFmtId="49" fontId="0" fillId="0" borderId="8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9" xfId="0" applyNumberFormat="1" applyBorder="1" applyAlignment="1">
      <alignment horizontal="center"/>
    </xf>
    <xf numFmtId="2" fontId="0" fillId="2" borderId="8" xfId="0" applyNumberFormat="1" applyFill="1" applyBorder="1" applyAlignment="1" applyProtection="1">
      <alignment horizontal="center"/>
      <protection locked="0"/>
    </xf>
    <xf numFmtId="2" fontId="0" fillId="0" borderId="10" xfId="0" applyNumberFormat="1" applyBorder="1" applyAlignment="1">
      <alignment horizontal="center"/>
    </xf>
    <xf numFmtId="2" fontId="0" fillId="2" borderId="9" xfId="0" applyNumberFormat="1" applyFill="1" applyBorder="1" applyAlignment="1" applyProtection="1">
      <alignment horizontal="center"/>
      <protection locked="0"/>
    </xf>
    <xf numFmtId="165" fontId="0" fillId="2" borderId="8" xfId="0" applyNumberFormat="1" applyFill="1" applyBorder="1" applyAlignment="1" applyProtection="1">
      <alignment horizontal="center"/>
      <protection locked="0"/>
    </xf>
    <xf numFmtId="165" fontId="0" fillId="0" borderId="10" xfId="0" applyNumberFormat="1" applyBorder="1" applyAlignment="1">
      <alignment horizontal="center"/>
    </xf>
    <xf numFmtId="165" fontId="0" fillId="2" borderId="9" xfId="0" applyNumberFormat="1" applyFill="1" applyBorder="1" applyAlignment="1" applyProtection="1">
      <alignment horizontal="center"/>
      <protection locked="0"/>
    </xf>
    <xf numFmtId="165" fontId="0" fillId="2" borderId="3" xfId="0" applyNumberFormat="1" applyFill="1" applyBorder="1" applyAlignment="1" applyProtection="1">
      <alignment horizontal="center"/>
      <protection locked="0"/>
    </xf>
    <xf numFmtId="164" fontId="0" fillId="2" borderId="8" xfId="0" applyNumberFormat="1" applyFill="1" applyBorder="1" applyAlignment="1" applyProtection="1">
      <alignment horizontal="center"/>
      <protection locked="0"/>
    </xf>
    <xf numFmtId="164" fontId="0" fillId="0" borderId="10" xfId="0" applyNumberFormat="1" applyBorder="1" applyAlignment="1">
      <alignment horizontal="center"/>
    </xf>
    <xf numFmtId="164" fontId="0" fillId="2" borderId="9" xfId="0" applyNumberFormat="1" applyFill="1" applyBorder="1" applyAlignment="1" applyProtection="1">
      <alignment horizontal="center"/>
      <protection locked="0"/>
    </xf>
    <xf numFmtId="166" fontId="0" fillId="2" borderId="3" xfId="0" applyNumberFormat="1" applyFill="1" applyBorder="1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1" fillId="0" borderId="14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18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1" fillId="0" borderId="6" xfId="0" applyFont="1" applyBorder="1" applyAlignment="1">
      <alignment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textRotation="90"/>
    </xf>
    <xf numFmtId="0" fontId="0" fillId="0" borderId="12" xfId="0" applyBorder="1" applyAlignment="1">
      <alignment horizontal="center" vertical="center" textRotation="90"/>
    </xf>
    <xf numFmtId="0" fontId="0" fillId="0" borderId="13" xfId="0" applyBorder="1" applyAlignment="1">
      <alignment horizontal="center" vertical="center" textRotation="90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 textRotation="90" wrapText="1"/>
    </xf>
    <xf numFmtId="0" fontId="0" fillId="0" borderId="20" xfId="0" applyBorder="1" applyAlignment="1">
      <alignment horizontal="center" vertical="center" textRotation="90" wrapText="1"/>
    </xf>
    <xf numFmtId="0" fontId="0" fillId="0" borderId="21" xfId="0" applyBorder="1" applyAlignment="1">
      <alignment horizontal="center" vertical="center" textRotation="90" wrapText="1"/>
    </xf>
    <xf numFmtId="0" fontId="1" fillId="0" borderId="10" xfId="0" applyFont="1" applyBorder="1" applyAlignment="1">
      <alignment horizontal="center"/>
    </xf>
    <xf numFmtId="0" fontId="0" fillId="0" borderId="19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1" xfId="0" applyBorder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BBF55-646E-4AE0-B5CF-3B2FACAEBC03}">
  <dimension ref="A1:H21"/>
  <sheetViews>
    <sheetView zoomScale="112" workbookViewId="0">
      <selection activeCell="E27" sqref="E27"/>
    </sheetView>
  </sheetViews>
  <sheetFormatPr defaultColWidth="9" defaultRowHeight="15" x14ac:dyDescent="0.25"/>
  <cols>
    <col min="1" max="1" width="10.28515625" style="1" bestFit="1" customWidth="1"/>
    <col min="2" max="2" width="10.28515625" style="1" customWidth="1"/>
    <col min="3" max="3" width="4" customWidth="1"/>
    <col min="4" max="4" width="12.7109375" customWidth="1"/>
    <col min="5" max="5" width="24.5703125" bestFit="1" customWidth="1"/>
    <col min="6" max="6" width="26" style="1" customWidth="1"/>
    <col min="7" max="7" width="2.5703125" style="1" customWidth="1"/>
    <col min="8" max="8" width="12" style="1" customWidth="1"/>
  </cols>
  <sheetData>
    <row r="1" spans="1:8" ht="15.75" thickBot="1" x14ac:dyDescent="0.3">
      <c r="A1" s="1" t="s">
        <v>16</v>
      </c>
    </row>
    <row r="2" spans="1:8" ht="15.75" thickBot="1" x14ac:dyDescent="0.3">
      <c r="A2" s="1">
        <v>1</v>
      </c>
      <c r="C2" s="49" t="s">
        <v>17</v>
      </c>
      <c r="D2" s="46" t="s">
        <v>8</v>
      </c>
      <c r="E2" s="47"/>
      <c r="F2" s="5" t="s">
        <v>13</v>
      </c>
      <c r="G2" s="5"/>
      <c r="H2" s="6" t="s">
        <v>14</v>
      </c>
    </row>
    <row r="3" spans="1:8" x14ac:dyDescent="0.25">
      <c r="A3" s="1">
        <v>2</v>
      </c>
      <c r="C3" s="50"/>
      <c r="D3" s="48" t="s">
        <v>0</v>
      </c>
      <c r="E3" t="s">
        <v>3</v>
      </c>
      <c r="H3" s="12">
        <f>202/454</f>
        <v>0.44493392070484583</v>
      </c>
    </row>
    <row r="4" spans="1:8" x14ac:dyDescent="0.25">
      <c r="A4" s="1">
        <v>2</v>
      </c>
      <c r="C4" s="50"/>
      <c r="D4" s="48"/>
      <c r="E4" t="s">
        <v>4</v>
      </c>
      <c r="H4" s="12">
        <v>0.42</v>
      </c>
    </row>
    <row r="5" spans="1:8" x14ac:dyDescent="0.25">
      <c r="A5" s="1">
        <v>3</v>
      </c>
      <c r="C5" s="50"/>
      <c r="D5" s="48"/>
      <c r="E5" t="s">
        <v>1</v>
      </c>
      <c r="H5" s="12">
        <f>1-H4</f>
        <v>0.58000000000000007</v>
      </c>
    </row>
    <row r="6" spans="1:8" x14ac:dyDescent="0.25">
      <c r="A6" s="1">
        <v>4</v>
      </c>
      <c r="C6" s="50"/>
      <c r="D6" s="48"/>
      <c r="E6" t="s">
        <v>2</v>
      </c>
      <c r="H6" s="13">
        <v>454</v>
      </c>
    </row>
    <row r="7" spans="1:8" x14ac:dyDescent="0.25">
      <c r="A7" s="1">
        <v>4</v>
      </c>
      <c r="C7" s="50"/>
      <c r="D7" s="2"/>
      <c r="H7" s="7"/>
    </row>
    <row r="8" spans="1:8" x14ac:dyDescent="0.25">
      <c r="A8" s="1">
        <v>4</v>
      </c>
      <c r="C8" s="50"/>
      <c r="D8" s="3" t="s">
        <v>0</v>
      </c>
      <c r="E8" t="s">
        <v>6</v>
      </c>
      <c r="F8" s="14" t="s">
        <v>55</v>
      </c>
      <c r="H8" s="12">
        <f>(H3-H4)/SQRT(H4*(H5)/H6)</f>
        <v>1.0764152908624653</v>
      </c>
    </row>
    <row r="9" spans="1:8" x14ac:dyDescent="0.25">
      <c r="A9" s="1">
        <v>5</v>
      </c>
      <c r="C9" s="50"/>
      <c r="D9" s="3"/>
      <c r="F9" s="10"/>
      <c r="H9" s="11"/>
    </row>
    <row r="10" spans="1:8" ht="15.75" thickBot="1" x14ac:dyDescent="0.3">
      <c r="A10" s="1">
        <v>5</v>
      </c>
      <c r="C10" s="51"/>
      <c r="D10" s="4" t="s">
        <v>5</v>
      </c>
      <c r="E10" s="8" t="s">
        <v>7</v>
      </c>
      <c r="F10" s="15" t="s">
        <v>56</v>
      </c>
      <c r="G10" s="9"/>
      <c r="H10" s="16">
        <f>1-_xlfn.NORM.S.DIST(H8,1)</f>
        <v>0.14087078341106618</v>
      </c>
    </row>
    <row r="11" spans="1:8" x14ac:dyDescent="0.25">
      <c r="A11" s="1">
        <v>5</v>
      </c>
    </row>
    <row r="12" spans="1:8" ht="15.75" thickBot="1" x14ac:dyDescent="0.3">
      <c r="A12" s="1">
        <v>5</v>
      </c>
    </row>
    <row r="13" spans="1:8" ht="15.75" thickBot="1" x14ac:dyDescent="0.3">
      <c r="A13" s="1">
        <v>5</v>
      </c>
      <c r="C13" s="49" t="s">
        <v>18</v>
      </c>
      <c r="D13" s="46" t="s">
        <v>9</v>
      </c>
      <c r="E13" s="47"/>
      <c r="F13" s="5" t="s">
        <v>15</v>
      </c>
      <c r="G13" s="5"/>
      <c r="H13" s="6" t="s">
        <v>14</v>
      </c>
    </row>
    <row r="14" spans="1:8" x14ac:dyDescent="0.25">
      <c r="A14" s="1">
        <v>6</v>
      </c>
      <c r="C14" s="50"/>
      <c r="D14" s="48" t="s">
        <v>0</v>
      </c>
      <c r="E14" t="s">
        <v>10</v>
      </c>
      <c r="H14" s="12">
        <v>5.8</v>
      </c>
    </row>
    <row r="15" spans="1:8" x14ac:dyDescent="0.25">
      <c r="A15" s="1">
        <v>6</v>
      </c>
      <c r="C15" s="50"/>
      <c r="D15" s="48"/>
      <c r="E15" t="s">
        <v>11</v>
      </c>
      <c r="H15" s="12">
        <v>6.8</v>
      </c>
    </row>
    <row r="16" spans="1:8" x14ac:dyDescent="0.25">
      <c r="A16" s="1">
        <v>7</v>
      </c>
      <c r="C16" s="50"/>
      <c r="D16" s="48"/>
      <c r="E16" t="s">
        <v>12</v>
      </c>
      <c r="H16" s="12">
        <f>_xlfn.STDEV.S(A2:A21)</f>
        <v>2.6852423197524415</v>
      </c>
    </row>
    <row r="17" spans="1:8" x14ac:dyDescent="0.25">
      <c r="A17" s="1">
        <v>8</v>
      </c>
      <c r="C17" s="50"/>
      <c r="D17" s="48"/>
      <c r="E17" t="s">
        <v>2</v>
      </c>
      <c r="H17" s="13">
        <v>20</v>
      </c>
    </row>
    <row r="18" spans="1:8" x14ac:dyDescent="0.25">
      <c r="A18" s="1">
        <v>8</v>
      </c>
      <c r="C18" s="50"/>
      <c r="D18" s="2"/>
      <c r="H18" s="7"/>
    </row>
    <row r="19" spans="1:8" x14ac:dyDescent="0.25">
      <c r="A19" s="1">
        <v>9</v>
      </c>
      <c r="C19" s="50"/>
      <c r="D19" s="3" t="s">
        <v>0</v>
      </c>
      <c r="E19" t="s">
        <v>6</v>
      </c>
      <c r="F19" s="14" t="s">
        <v>58</v>
      </c>
      <c r="H19" s="12">
        <f>(H14-H15)/(H16/SQRT(H17))</f>
        <v>-1.6654496773355916</v>
      </c>
    </row>
    <row r="20" spans="1:8" x14ac:dyDescent="0.25">
      <c r="A20" s="1">
        <v>10</v>
      </c>
      <c r="C20" s="50"/>
      <c r="D20" s="3"/>
      <c r="F20" s="10"/>
      <c r="H20" s="11"/>
    </row>
    <row r="21" spans="1:8" ht="15.75" thickBot="1" x14ac:dyDescent="0.3">
      <c r="A21" s="1">
        <v>11</v>
      </c>
      <c r="C21" s="51"/>
      <c r="D21" s="4" t="s">
        <v>5</v>
      </c>
      <c r="E21" s="8" t="s">
        <v>7</v>
      </c>
      <c r="F21" s="15" t="s">
        <v>57</v>
      </c>
      <c r="G21" s="9"/>
      <c r="H21" s="16">
        <f>2*_xlfn.NORM.S.DIST(H19,1)</f>
        <v>9.5823075438256619E-2</v>
      </c>
    </row>
  </sheetData>
  <sheetProtection algorithmName="SHA-512" hashValue="oZTfv6zN/PTeK7Dpgj159AF1/JSMC2V+ILFzBmnZ+kanT+k41yJl4NNVGuDSSzYIwrY4aY7r/bOxufEPA7568w==" saltValue="+RDpGZYUQD20LDqKsS0hsA==" spinCount="100000" sheet="1" objects="1" scenarios="1"/>
  <sortState xmlns:xlrd2="http://schemas.microsoft.com/office/spreadsheetml/2017/richdata2" ref="A2:A21">
    <sortCondition ref="A1:A21"/>
  </sortState>
  <mergeCells count="6">
    <mergeCell ref="D2:E2"/>
    <mergeCell ref="D13:E13"/>
    <mergeCell ref="D3:D6"/>
    <mergeCell ref="D14:D17"/>
    <mergeCell ref="C2:C10"/>
    <mergeCell ref="C13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AF0D2-9B10-4BA4-A578-A4B61BEBF0F2}">
  <dimension ref="A1:H62"/>
  <sheetViews>
    <sheetView zoomScale="83" workbookViewId="0">
      <selection activeCell="I33" sqref="I33"/>
    </sheetView>
  </sheetViews>
  <sheetFormatPr defaultColWidth="9" defaultRowHeight="15" x14ac:dyDescent="0.25"/>
  <cols>
    <col min="1" max="1" width="17.5703125" style="1" bestFit="1" customWidth="1"/>
    <col min="3" max="3" width="4" customWidth="1"/>
    <col min="4" max="4" width="12.7109375" customWidth="1"/>
    <col min="5" max="5" width="23.140625" bestFit="1" customWidth="1"/>
    <col min="6" max="6" width="30.140625" style="1" customWidth="1"/>
    <col min="7" max="7" width="2.5703125" style="1" customWidth="1"/>
    <col min="8" max="8" width="25" style="1" customWidth="1"/>
  </cols>
  <sheetData>
    <row r="1" spans="1:8" ht="15.75" thickBot="1" x14ac:dyDescent="0.3">
      <c r="A1" s="1" t="s">
        <v>22</v>
      </c>
    </row>
    <row r="2" spans="1:8" ht="14.65" customHeight="1" thickBot="1" x14ac:dyDescent="0.3">
      <c r="A2" s="1">
        <v>150000</v>
      </c>
      <c r="C2" s="49" t="s">
        <v>20</v>
      </c>
      <c r="D2" s="46" t="s">
        <v>19</v>
      </c>
      <c r="E2" s="47"/>
      <c r="F2" s="35" t="s">
        <v>13</v>
      </c>
      <c r="G2" s="36"/>
      <c r="H2" s="37" t="s">
        <v>14</v>
      </c>
    </row>
    <row r="3" spans="1:8" x14ac:dyDescent="0.25">
      <c r="A3" s="1">
        <v>150000</v>
      </c>
      <c r="C3" s="50"/>
      <c r="D3" s="33"/>
      <c r="E3" t="s">
        <v>10</v>
      </c>
      <c r="F3" s="52" t="s">
        <v>52</v>
      </c>
      <c r="H3" s="30">
        <v>13</v>
      </c>
    </row>
    <row r="4" spans="1:8" x14ac:dyDescent="0.25">
      <c r="A4" s="1">
        <v>150000</v>
      </c>
      <c r="C4" s="50"/>
      <c r="D4" s="34"/>
      <c r="E4" t="s">
        <v>45</v>
      </c>
      <c r="F4" s="52"/>
      <c r="H4" s="30">
        <v>1.4</v>
      </c>
    </row>
    <row r="5" spans="1:8" ht="15.75" thickBot="1" x14ac:dyDescent="0.3">
      <c r="A5" s="1">
        <v>150000</v>
      </c>
      <c r="C5" s="50"/>
      <c r="D5" s="34"/>
      <c r="E5" t="s">
        <v>2</v>
      </c>
      <c r="F5" s="53"/>
      <c r="H5" s="13">
        <v>52</v>
      </c>
    </row>
    <row r="6" spans="1:8" x14ac:dyDescent="0.25">
      <c r="A6" s="1">
        <v>150000</v>
      </c>
      <c r="C6" s="50"/>
      <c r="D6" s="31"/>
      <c r="H6" s="38"/>
    </row>
    <row r="7" spans="1:8" x14ac:dyDescent="0.25">
      <c r="A7" s="1">
        <v>150000</v>
      </c>
      <c r="C7" s="50"/>
      <c r="D7" s="3" t="s">
        <v>0</v>
      </c>
      <c r="E7" t="s">
        <v>46</v>
      </c>
      <c r="F7" s="14" t="s">
        <v>60</v>
      </c>
      <c r="H7" s="12">
        <f>H4/SQRT(H5)</f>
        <v>0.19414506867883019</v>
      </c>
    </row>
    <row r="8" spans="1:8" x14ac:dyDescent="0.25">
      <c r="A8" s="1">
        <v>150000</v>
      </c>
      <c r="C8" s="50"/>
      <c r="D8" s="2"/>
      <c r="H8" s="7"/>
    </row>
    <row r="9" spans="1:8" x14ac:dyDescent="0.25">
      <c r="A9" s="1">
        <v>151000</v>
      </c>
      <c r="C9" s="50"/>
      <c r="D9" s="3" t="s">
        <v>0</v>
      </c>
      <c r="E9" t="s">
        <v>23</v>
      </c>
      <c r="F9" s="14" t="s">
        <v>59</v>
      </c>
      <c r="H9" s="12">
        <f>_xlfn.NORM.S.INV(0.9+(1-0.9)/2)</f>
        <v>1.6448536269514715</v>
      </c>
    </row>
    <row r="10" spans="1:8" x14ac:dyDescent="0.25">
      <c r="A10" s="1">
        <v>152000</v>
      </c>
      <c r="C10" s="50"/>
      <c r="D10" s="3"/>
      <c r="F10" s="10"/>
      <c r="H10" s="11"/>
    </row>
    <row r="11" spans="1:8" x14ac:dyDescent="0.25">
      <c r="A11" s="1">
        <v>152000</v>
      </c>
      <c r="C11" s="50"/>
      <c r="D11" s="3" t="s">
        <v>0</v>
      </c>
      <c r="E11" t="s">
        <v>24</v>
      </c>
      <c r="F11" s="14" t="s">
        <v>61</v>
      </c>
      <c r="H11" s="12">
        <f>H7*H9</f>
        <v>0.31934022037111637</v>
      </c>
    </row>
    <row r="12" spans="1:8" ht="15.75" thickBot="1" x14ac:dyDescent="0.3">
      <c r="A12" s="1">
        <v>152000</v>
      </c>
      <c r="C12" s="50"/>
      <c r="D12" s="3"/>
      <c r="F12" s="10"/>
      <c r="H12" s="11"/>
    </row>
    <row r="13" spans="1:8" ht="15.75" thickBot="1" x14ac:dyDescent="0.3">
      <c r="A13" s="1">
        <v>152000</v>
      </c>
      <c r="C13" s="50"/>
      <c r="D13" s="2"/>
      <c r="F13" s="17" t="s">
        <v>26</v>
      </c>
      <c r="G13" s="18"/>
      <c r="H13" s="19" t="s">
        <v>27</v>
      </c>
    </row>
    <row r="14" spans="1:8" ht="15.75" thickBot="1" x14ac:dyDescent="0.3">
      <c r="A14" s="1">
        <v>153000</v>
      </c>
      <c r="C14" s="51"/>
      <c r="D14" s="4" t="s">
        <v>0</v>
      </c>
      <c r="E14" s="8" t="s">
        <v>25</v>
      </c>
      <c r="F14" s="20">
        <f>H3-H11</f>
        <v>12.680659779628884</v>
      </c>
      <c r="G14" s="21"/>
      <c r="H14" s="22">
        <f>H3+H11</f>
        <v>13.319340220371116</v>
      </c>
    </row>
    <row r="15" spans="1:8" x14ac:dyDescent="0.25">
      <c r="A15" s="1">
        <v>153000</v>
      </c>
    </row>
    <row r="16" spans="1:8" ht="14.65" customHeight="1" thickBot="1" x14ac:dyDescent="0.3">
      <c r="A16" s="1">
        <v>154000</v>
      </c>
    </row>
    <row r="17" spans="1:8" ht="14.65" customHeight="1" thickBot="1" x14ac:dyDescent="0.3">
      <c r="A17" s="1">
        <v>155000</v>
      </c>
      <c r="C17" s="49" t="s">
        <v>49</v>
      </c>
      <c r="D17" s="46" t="s">
        <v>19</v>
      </c>
      <c r="E17" s="47"/>
      <c r="F17" s="35" t="s">
        <v>13</v>
      </c>
      <c r="G17" s="36"/>
      <c r="H17" s="37" t="s">
        <v>14</v>
      </c>
    </row>
    <row r="18" spans="1:8" x14ac:dyDescent="0.25">
      <c r="A18" s="1">
        <v>159000</v>
      </c>
      <c r="C18" s="50"/>
      <c r="E18" t="s">
        <v>10</v>
      </c>
      <c r="F18" s="52" t="s">
        <v>52</v>
      </c>
      <c r="H18" s="26">
        <f>AVERAGE(A2:A62)</f>
        <v>170770.49180327868</v>
      </c>
    </row>
    <row r="19" spans="1:8" x14ac:dyDescent="0.25">
      <c r="A19" s="1">
        <v>159000</v>
      </c>
      <c r="C19" s="50"/>
      <c r="D19" s="34"/>
      <c r="E19" t="s">
        <v>45</v>
      </c>
      <c r="F19" s="52"/>
      <c r="H19" s="12">
        <f>_xlfn.STDEV.S(A2:A62)</f>
        <v>17039.555395826261</v>
      </c>
    </row>
    <row r="20" spans="1:8" ht="15.75" thickBot="1" x14ac:dyDescent="0.3">
      <c r="A20" s="1">
        <v>159000</v>
      </c>
      <c r="C20" s="50"/>
      <c r="D20" s="34"/>
      <c r="E20" t="s">
        <v>2</v>
      </c>
      <c r="F20" s="53"/>
      <c r="H20" s="13">
        <f>COUNT(A2:A62)</f>
        <v>61</v>
      </c>
    </row>
    <row r="21" spans="1:8" x14ac:dyDescent="0.25">
      <c r="A21" s="1">
        <v>160000</v>
      </c>
      <c r="C21" s="50"/>
      <c r="D21" s="34"/>
      <c r="F21" s="39"/>
      <c r="H21" s="38"/>
    </row>
    <row r="22" spans="1:8" x14ac:dyDescent="0.25">
      <c r="A22" s="1">
        <v>160000</v>
      </c>
      <c r="C22" s="50"/>
      <c r="D22" s="31" t="s">
        <v>0</v>
      </c>
      <c r="E22" t="s">
        <v>46</v>
      </c>
      <c r="F22" s="14" t="s">
        <v>63</v>
      </c>
      <c r="H22" s="12">
        <f>H19/SQRT(H20)</f>
        <v>2181.6915083253366</v>
      </c>
    </row>
    <row r="23" spans="1:8" x14ac:dyDescent="0.25">
      <c r="A23" s="1">
        <v>160000</v>
      </c>
      <c r="C23" s="50"/>
      <c r="D23" s="2"/>
      <c r="H23" s="7"/>
    </row>
    <row r="24" spans="1:8" x14ac:dyDescent="0.25">
      <c r="A24" s="1">
        <v>162000</v>
      </c>
      <c r="C24" s="50"/>
      <c r="D24" s="3" t="s">
        <v>0</v>
      </c>
      <c r="E24" t="s">
        <v>23</v>
      </c>
      <c r="F24" s="14" t="s">
        <v>62</v>
      </c>
      <c r="H24" s="12">
        <f>_xlfn.T.INV.2T(1-0.95,H20-1)</f>
        <v>2.0002978220142609</v>
      </c>
    </row>
    <row r="25" spans="1:8" x14ac:dyDescent="0.25">
      <c r="A25" s="1">
        <v>163000</v>
      </c>
      <c r="C25" s="50"/>
      <c r="D25" s="3"/>
      <c r="F25" s="10"/>
      <c r="H25" s="11"/>
    </row>
    <row r="26" spans="1:8" x14ac:dyDescent="0.25">
      <c r="A26" s="1">
        <v>163000</v>
      </c>
      <c r="C26" s="50"/>
      <c r="D26" s="3" t="s">
        <v>0</v>
      </c>
      <c r="E26" t="s">
        <v>24</v>
      </c>
      <c r="F26" s="14" t="s">
        <v>64</v>
      </c>
      <c r="H26" s="12">
        <f>H22*H24</f>
        <v>4364.032772410178</v>
      </c>
    </row>
    <row r="27" spans="1:8" ht="15.75" thickBot="1" x14ac:dyDescent="0.3">
      <c r="A27" s="1">
        <v>163000</v>
      </c>
      <c r="C27" s="50"/>
      <c r="D27" s="3"/>
      <c r="F27" s="10"/>
      <c r="H27" s="11"/>
    </row>
    <row r="28" spans="1:8" ht="15.75" thickBot="1" x14ac:dyDescent="0.3">
      <c r="A28" s="1">
        <v>163000</v>
      </c>
      <c r="C28" s="50"/>
      <c r="D28" s="2"/>
      <c r="F28" s="17" t="s">
        <v>26</v>
      </c>
      <c r="G28" s="18"/>
      <c r="H28" s="19" t="s">
        <v>27</v>
      </c>
    </row>
    <row r="29" spans="1:8" ht="15.75" thickBot="1" x14ac:dyDescent="0.3">
      <c r="A29" s="1">
        <v>165000</v>
      </c>
      <c r="C29" s="51"/>
      <c r="D29" s="4" t="s">
        <v>0</v>
      </c>
      <c r="E29" s="8" t="s">
        <v>25</v>
      </c>
      <c r="F29" s="23">
        <f>H18-H26</f>
        <v>166406.45903086851</v>
      </c>
      <c r="G29" s="24"/>
      <c r="H29" s="25">
        <f>H18+H26</f>
        <v>175134.52457568885</v>
      </c>
    </row>
    <row r="30" spans="1:8" x14ac:dyDescent="0.25">
      <c r="A30" s="1">
        <v>165000</v>
      </c>
    </row>
    <row r="31" spans="1:8" x14ac:dyDescent="0.25">
      <c r="A31" s="1">
        <v>168000</v>
      </c>
    </row>
    <row r="32" spans="1:8" x14ac:dyDescent="0.25">
      <c r="A32" s="1">
        <v>168000</v>
      </c>
    </row>
    <row r="33" spans="1:1" x14ac:dyDescent="0.25">
      <c r="A33" s="1">
        <v>168000</v>
      </c>
    </row>
    <row r="34" spans="1:1" x14ac:dyDescent="0.25">
      <c r="A34" s="1">
        <v>171000</v>
      </c>
    </row>
    <row r="35" spans="1:1" x14ac:dyDescent="0.25">
      <c r="A35" s="1">
        <v>171000</v>
      </c>
    </row>
    <row r="36" spans="1:1" x14ac:dyDescent="0.25">
      <c r="A36" s="1">
        <v>172000</v>
      </c>
    </row>
    <row r="37" spans="1:1" x14ac:dyDescent="0.25">
      <c r="A37" s="1">
        <v>172000</v>
      </c>
    </row>
    <row r="38" spans="1:1" x14ac:dyDescent="0.25">
      <c r="A38" s="1">
        <v>172000</v>
      </c>
    </row>
    <row r="39" spans="1:1" x14ac:dyDescent="0.25">
      <c r="A39" s="1">
        <v>173000</v>
      </c>
    </row>
    <row r="40" spans="1:1" x14ac:dyDescent="0.25">
      <c r="A40" s="1">
        <v>174000</v>
      </c>
    </row>
    <row r="41" spans="1:1" x14ac:dyDescent="0.25">
      <c r="A41" s="1">
        <v>175000</v>
      </c>
    </row>
    <row r="42" spans="1:1" x14ac:dyDescent="0.25">
      <c r="A42" s="1">
        <v>175000</v>
      </c>
    </row>
    <row r="43" spans="1:1" x14ac:dyDescent="0.25">
      <c r="A43" s="1">
        <v>175000</v>
      </c>
    </row>
    <row r="44" spans="1:1" x14ac:dyDescent="0.25">
      <c r="A44" s="1">
        <v>176000</v>
      </c>
    </row>
    <row r="45" spans="1:1" x14ac:dyDescent="0.25">
      <c r="A45" s="1">
        <v>182000</v>
      </c>
    </row>
    <row r="46" spans="1:1" x14ac:dyDescent="0.25">
      <c r="A46" s="1">
        <v>182000</v>
      </c>
    </row>
    <row r="47" spans="1:1" x14ac:dyDescent="0.25">
      <c r="A47" s="1">
        <v>183000</v>
      </c>
    </row>
    <row r="48" spans="1:1" x14ac:dyDescent="0.25">
      <c r="A48" s="1">
        <v>185000</v>
      </c>
    </row>
    <row r="49" spans="1:1" x14ac:dyDescent="0.25">
      <c r="A49" s="1">
        <v>185000</v>
      </c>
    </row>
    <row r="50" spans="1:1" x14ac:dyDescent="0.25">
      <c r="A50" s="1">
        <v>190000</v>
      </c>
    </row>
    <row r="51" spans="1:1" x14ac:dyDescent="0.25">
      <c r="A51" s="1">
        <v>190000</v>
      </c>
    </row>
    <row r="52" spans="1:1" x14ac:dyDescent="0.25">
      <c r="A52" s="1">
        <v>195000</v>
      </c>
    </row>
    <row r="53" spans="1:1" x14ac:dyDescent="0.25">
      <c r="A53" s="1">
        <v>195000</v>
      </c>
    </row>
    <row r="54" spans="1:1" x14ac:dyDescent="0.25">
      <c r="A54" s="1">
        <v>195000</v>
      </c>
    </row>
    <row r="55" spans="1:1" x14ac:dyDescent="0.25">
      <c r="A55" s="1">
        <v>196000</v>
      </c>
    </row>
    <row r="56" spans="1:1" x14ac:dyDescent="0.25">
      <c r="A56" s="1">
        <v>200000</v>
      </c>
    </row>
    <row r="57" spans="1:1" x14ac:dyDescent="0.25">
      <c r="A57" s="1">
        <v>200000</v>
      </c>
    </row>
    <row r="58" spans="1:1" x14ac:dyDescent="0.25">
      <c r="A58" s="1">
        <v>200000</v>
      </c>
    </row>
    <row r="59" spans="1:1" x14ac:dyDescent="0.25">
      <c r="A59" s="1">
        <v>200000</v>
      </c>
    </row>
    <row r="60" spans="1:1" x14ac:dyDescent="0.25">
      <c r="A60" s="1">
        <v>200000</v>
      </c>
    </row>
    <row r="61" spans="1:1" x14ac:dyDescent="0.25">
      <c r="A61" s="1">
        <v>202000</v>
      </c>
    </row>
    <row r="62" spans="1:1" x14ac:dyDescent="0.25">
      <c r="A62" s="1">
        <v>202000</v>
      </c>
    </row>
  </sheetData>
  <sheetProtection algorithmName="SHA-512" hashValue="l6E0DnPtrA78SNf2Sy3av8dSQ+ri8UiXZU4GC8S5BmGmnAz9WObGOpvRANn06oVhfWgfzGhtLH7wHSYWxjmZ+w==" saltValue="e4SXezpTYjvPmU38c0Ggcw==" spinCount="100000" sheet="1" objects="1" scenarios="1"/>
  <mergeCells count="6">
    <mergeCell ref="F3:F5"/>
    <mergeCell ref="F18:F20"/>
    <mergeCell ref="C17:C29"/>
    <mergeCell ref="C2:C14"/>
    <mergeCell ref="D2:E2"/>
    <mergeCell ref="D17:E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0E59-8CD4-4368-85AA-A26804B6E588}">
  <dimension ref="B1:G31"/>
  <sheetViews>
    <sheetView zoomScale="85" workbookViewId="0">
      <selection activeCell="M19" sqref="M19"/>
    </sheetView>
  </sheetViews>
  <sheetFormatPr defaultColWidth="9" defaultRowHeight="15" x14ac:dyDescent="0.25"/>
  <cols>
    <col min="2" max="2" width="4" customWidth="1"/>
    <col min="3" max="3" width="8" customWidth="1"/>
    <col min="4" max="4" width="26.140625" bestFit="1" customWidth="1"/>
    <col min="5" max="5" width="33.140625" style="1" customWidth="1"/>
    <col min="6" max="6" width="2.5703125" style="1" customWidth="1"/>
    <col min="7" max="7" width="25" style="1" customWidth="1"/>
  </cols>
  <sheetData>
    <row r="1" spans="2:7" ht="15.75" thickBot="1" x14ac:dyDescent="0.3"/>
    <row r="2" spans="2:7" ht="15.75" thickBot="1" x14ac:dyDescent="0.3">
      <c r="B2" s="49" t="s">
        <v>21</v>
      </c>
      <c r="C2" s="46" t="s">
        <v>33</v>
      </c>
      <c r="D2" s="47"/>
      <c r="E2" s="5" t="s">
        <v>13</v>
      </c>
      <c r="F2" s="5"/>
      <c r="G2" s="6" t="s">
        <v>14</v>
      </c>
    </row>
    <row r="3" spans="2:7" x14ac:dyDescent="0.25">
      <c r="B3" s="50"/>
      <c r="C3" s="34"/>
      <c r="D3" t="s">
        <v>29</v>
      </c>
      <c r="E3" s="54" t="s">
        <v>52</v>
      </c>
      <c r="G3" s="13">
        <v>13</v>
      </c>
    </row>
    <row r="4" spans="2:7" x14ac:dyDescent="0.25">
      <c r="B4" s="50"/>
      <c r="C4" s="34"/>
      <c r="D4" t="s">
        <v>2</v>
      </c>
      <c r="E4" s="55"/>
      <c r="G4" s="13">
        <v>147</v>
      </c>
    </row>
    <row r="5" spans="2:7" x14ac:dyDescent="0.25">
      <c r="B5" s="50"/>
      <c r="C5" s="34"/>
      <c r="D5" t="s">
        <v>30</v>
      </c>
      <c r="E5" s="55"/>
      <c r="G5" s="12">
        <f>G3/G4</f>
        <v>8.8435374149659865E-2</v>
      </c>
    </row>
    <row r="6" spans="2:7" ht="15.75" thickBot="1" x14ac:dyDescent="0.3">
      <c r="B6" s="50"/>
      <c r="C6" s="34"/>
      <c r="D6" t="s">
        <v>31</v>
      </c>
      <c r="E6" s="56"/>
      <c r="G6" s="12">
        <f>1-G5</f>
        <v>0.91156462585034015</v>
      </c>
    </row>
    <row r="7" spans="2:7" x14ac:dyDescent="0.25">
      <c r="B7" s="50"/>
      <c r="C7" s="34"/>
      <c r="G7" s="11"/>
    </row>
    <row r="8" spans="2:7" x14ac:dyDescent="0.25">
      <c r="B8" s="50"/>
      <c r="C8" s="31" t="s">
        <v>0</v>
      </c>
      <c r="D8" t="s">
        <v>46</v>
      </c>
      <c r="E8" s="14" t="s">
        <v>65</v>
      </c>
      <c r="G8" s="12">
        <f>SQRT((G5*G6)/G4)</f>
        <v>2.3417906798740288E-2</v>
      </c>
    </row>
    <row r="9" spans="2:7" x14ac:dyDescent="0.25">
      <c r="B9" s="50"/>
      <c r="C9" s="2"/>
      <c r="G9" s="7"/>
    </row>
    <row r="10" spans="2:7" x14ac:dyDescent="0.25">
      <c r="B10" s="50"/>
      <c r="C10" s="3" t="s">
        <v>0</v>
      </c>
      <c r="D10" t="s">
        <v>23</v>
      </c>
      <c r="E10" s="14" t="s">
        <v>66</v>
      </c>
      <c r="G10" s="12">
        <f>_xlfn.NORM.S.INV(0.95+((1-0.95)/2))</f>
        <v>1.9599639845400536</v>
      </c>
    </row>
    <row r="11" spans="2:7" x14ac:dyDescent="0.25">
      <c r="B11" s="50"/>
      <c r="C11" s="3"/>
      <c r="E11" s="10"/>
      <c r="G11" s="11"/>
    </row>
    <row r="12" spans="2:7" x14ac:dyDescent="0.25">
      <c r="B12" s="50"/>
      <c r="C12" s="3" t="s">
        <v>0</v>
      </c>
      <c r="D12" t="s">
        <v>24</v>
      </c>
      <c r="E12" s="14" t="s">
        <v>67</v>
      </c>
      <c r="G12" s="12">
        <f>G8*G10</f>
        <v>4.5898253918846624E-2</v>
      </c>
    </row>
    <row r="13" spans="2:7" ht="15.75" thickBot="1" x14ac:dyDescent="0.3">
      <c r="B13" s="50"/>
      <c r="C13" s="3"/>
      <c r="E13" s="10"/>
      <c r="G13" s="11"/>
    </row>
    <row r="14" spans="2:7" ht="15.75" thickBot="1" x14ac:dyDescent="0.3">
      <c r="B14" s="50"/>
      <c r="C14" s="2"/>
      <c r="E14" s="17" t="s">
        <v>26</v>
      </c>
      <c r="F14" s="18"/>
      <c r="G14" s="19" t="s">
        <v>27</v>
      </c>
    </row>
    <row r="15" spans="2:7" ht="15.75" thickBot="1" x14ac:dyDescent="0.3">
      <c r="B15" s="51"/>
      <c r="C15" s="4" t="s">
        <v>0</v>
      </c>
      <c r="D15" s="8" t="s">
        <v>25</v>
      </c>
      <c r="E15" s="27">
        <f>G5-G12</f>
        <v>4.2537120230813241E-2</v>
      </c>
      <c r="F15" s="28"/>
      <c r="G15" s="29">
        <f>G5+G12</f>
        <v>0.13433362806850649</v>
      </c>
    </row>
    <row r="17" spans="2:7" ht="15.75" thickBot="1" x14ac:dyDescent="0.3"/>
    <row r="18" spans="2:7" ht="14.65" customHeight="1" thickBot="1" x14ac:dyDescent="0.3">
      <c r="B18" s="49" t="s">
        <v>50</v>
      </c>
      <c r="C18" s="46" t="s">
        <v>32</v>
      </c>
      <c r="D18" s="47"/>
      <c r="E18" s="5" t="s">
        <v>13</v>
      </c>
      <c r="F18" s="5"/>
      <c r="G18" s="6" t="s">
        <v>14</v>
      </c>
    </row>
    <row r="19" spans="2:7" x14ac:dyDescent="0.25">
      <c r="B19" s="50"/>
      <c r="C19" s="58" t="s">
        <v>0</v>
      </c>
      <c r="D19" t="s">
        <v>29</v>
      </c>
      <c r="E19" s="57" t="s">
        <v>52</v>
      </c>
      <c r="G19" s="13"/>
    </row>
    <row r="20" spans="2:7" x14ac:dyDescent="0.25">
      <c r="B20" s="50"/>
      <c r="C20" s="48"/>
      <c r="D20" t="s">
        <v>2</v>
      </c>
      <c r="E20" s="57"/>
      <c r="G20" s="13"/>
    </row>
    <row r="21" spans="2:7" x14ac:dyDescent="0.25">
      <c r="B21" s="50"/>
      <c r="C21" s="48"/>
      <c r="D21" t="s">
        <v>30</v>
      </c>
      <c r="E21" s="57"/>
      <c r="G21" s="12"/>
    </row>
    <row r="22" spans="2:7" x14ac:dyDescent="0.25">
      <c r="B22" s="50"/>
      <c r="C22" s="48"/>
      <c r="D22" t="s">
        <v>31</v>
      </c>
      <c r="E22" s="57"/>
      <c r="G22" s="12"/>
    </row>
    <row r="23" spans="2:7" x14ac:dyDescent="0.25">
      <c r="B23" s="50"/>
      <c r="C23" s="48"/>
      <c r="G23" s="11"/>
    </row>
    <row r="24" spans="2:7" x14ac:dyDescent="0.25">
      <c r="B24" s="50"/>
      <c r="C24" s="48"/>
      <c r="D24" t="s">
        <v>46</v>
      </c>
      <c r="E24" s="14"/>
      <c r="G24" s="12"/>
    </row>
    <row r="25" spans="2:7" x14ac:dyDescent="0.25">
      <c r="B25" s="50"/>
      <c r="C25" s="2"/>
      <c r="G25" s="7"/>
    </row>
    <row r="26" spans="2:7" x14ac:dyDescent="0.25">
      <c r="B26" s="50"/>
      <c r="C26" s="3" t="s">
        <v>0</v>
      </c>
      <c r="D26" t="s">
        <v>23</v>
      </c>
      <c r="E26" s="14"/>
      <c r="G26" s="12"/>
    </row>
    <row r="27" spans="2:7" x14ac:dyDescent="0.25">
      <c r="B27" s="50"/>
      <c r="C27" s="3"/>
      <c r="E27" s="10"/>
      <c r="G27" s="11"/>
    </row>
    <row r="28" spans="2:7" x14ac:dyDescent="0.25">
      <c r="B28" s="50"/>
      <c r="C28" s="3" t="s">
        <v>0</v>
      </c>
      <c r="D28" t="s">
        <v>24</v>
      </c>
      <c r="E28" s="14"/>
      <c r="G28" s="12"/>
    </row>
    <row r="29" spans="2:7" ht="15.75" thickBot="1" x14ac:dyDescent="0.3">
      <c r="B29" s="50"/>
      <c r="C29" s="3"/>
      <c r="E29" s="10"/>
      <c r="G29" s="11"/>
    </row>
    <row r="30" spans="2:7" ht="15.75" thickBot="1" x14ac:dyDescent="0.3">
      <c r="B30" s="50"/>
      <c r="C30" s="2"/>
      <c r="E30" s="17" t="s">
        <v>26</v>
      </c>
      <c r="F30" s="18"/>
      <c r="G30" s="19" t="s">
        <v>27</v>
      </c>
    </row>
    <row r="31" spans="2:7" ht="15.75" thickBot="1" x14ac:dyDescent="0.3">
      <c r="B31" s="51"/>
      <c r="C31" s="4" t="s">
        <v>0</v>
      </c>
      <c r="D31" s="8" t="s">
        <v>25</v>
      </c>
      <c r="E31" s="27"/>
      <c r="F31" s="28"/>
      <c r="G31" s="29"/>
    </row>
  </sheetData>
  <sheetProtection algorithmName="SHA-512" hashValue="c672ZLDUbxIYBLewWX8U7IjPe9yZdATVIYNAIsCp/QtW05ssQmxz6TAa+5JCXN4Xg+wxSVrrELHI/TA/5MgXBQ==" saltValue="gdDw4KvkEC1WVLD79vIwBQ==" spinCount="100000" sheet="1" objects="1" scenarios="1"/>
  <mergeCells count="7">
    <mergeCell ref="E3:E6"/>
    <mergeCell ref="E19:E22"/>
    <mergeCell ref="B2:B15"/>
    <mergeCell ref="C2:D2"/>
    <mergeCell ref="B18:B31"/>
    <mergeCell ref="C18:D18"/>
    <mergeCell ref="C19:C24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AA71-2F7D-4DA2-B936-6728E8EE8572}">
  <dimension ref="A1:J34"/>
  <sheetViews>
    <sheetView tabSelected="1" zoomScale="80" workbookViewId="0">
      <selection activeCell="B23" sqref="B23"/>
    </sheetView>
  </sheetViews>
  <sheetFormatPr defaultColWidth="9" defaultRowHeight="15" x14ac:dyDescent="0.25"/>
  <cols>
    <col min="3" max="3" width="9.7109375" style="32" customWidth="1"/>
    <col min="4" max="4" width="4.28515625" customWidth="1"/>
    <col min="5" max="5" width="4" customWidth="1"/>
    <col min="6" max="6" width="7.140625" customWidth="1"/>
    <col min="7" max="7" width="28.85546875" customWidth="1"/>
    <col min="8" max="8" width="34.5703125" style="1" customWidth="1"/>
    <col min="9" max="9" width="2.5703125" style="1" customWidth="1"/>
    <col min="10" max="10" width="25" style="1" customWidth="1"/>
  </cols>
  <sheetData>
    <row r="1" spans="1:10" ht="15.75" thickBot="1" x14ac:dyDescent="0.3">
      <c r="A1" s="1" t="s">
        <v>35</v>
      </c>
      <c r="B1" s="1" t="s">
        <v>36</v>
      </c>
      <c r="C1" s="32" t="s">
        <v>47</v>
      </c>
    </row>
    <row r="2" spans="1:10" ht="14.65" customHeight="1" thickTop="1" thickBot="1" x14ac:dyDescent="0.3">
      <c r="A2" s="1">
        <v>63</v>
      </c>
      <c r="B2" s="1">
        <v>77</v>
      </c>
      <c r="C2" s="32">
        <f>B2-A2</f>
        <v>14</v>
      </c>
      <c r="E2" s="63" t="s">
        <v>28</v>
      </c>
      <c r="F2" s="62" t="s">
        <v>34</v>
      </c>
      <c r="G2" s="47"/>
      <c r="H2" s="5" t="s">
        <v>13</v>
      </c>
      <c r="I2" s="5"/>
      <c r="J2" s="6" t="s">
        <v>14</v>
      </c>
    </row>
    <row r="3" spans="1:10" x14ac:dyDescent="0.25">
      <c r="A3" s="1">
        <v>67</v>
      </c>
      <c r="B3" s="1">
        <v>89</v>
      </c>
      <c r="C3" s="32">
        <f t="shared" ref="C3:C16" si="0">B3-A3</f>
        <v>22</v>
      </c>
      <c r="E3" s="64"/>
      <c r="F3" s="40"/>
      <c r="G3" t="s">
        <v>38</v>
      </c>
      <c r="H3" s="54" t="s">
        <v>53</v>
      </c>
      <c r="J3" s="30">
        <f>AVERAGE(C2:C16)</f>
        <v>14.4</v>
      </c>
    </row>
    <row r="4" spans="1:10" x14ac:dyDescent="0.25">
      <c r="A4" s="1">
        <v>77</v>
      </c>
      <c r="B4" s="1">
        <v>91</v>
      </c>
      <c r="C4" s="32">
        <f t="shared" si="0"/>
        <v>14</v>
      </c>
      <c r="E4" s="64"/>
      <c r="F4" s="40"/>
      <c r="G4" t="s">
        <v>39</v>
      </c>
      <c r="H4" s="55"/>
      <c r="J4" s="12">
        <f>_xlfn.STDEV.S(C2:C16)</f>
        <v>9.3105163275574725</v>
      </c>
    </row>
    <row r="5" spans="1:10" ht="15.75" thickBot="1" x14ac:dyDescent="0.3">
      <c r="A5" s="1">
        <v>74</v>
      </c>
      <c r="B5" s="1">
        <v>96</v>
      </c>
      <c r="C5" s="32">
        <f t="shared" si="0"/>
        <v>22</v>
      </c>
      <c r="E5" s="64"/>
      <c r="F5" s="40"/>
      <c r="G5" t="s">
        <v>2</v>
      </c>
      <c r="H5" s="56"/>
      <c r="J5" s="13">
        <f>COUNT(C2:C16)</f>
        <v>15</v>
      </c>
    </row>
    <row r="6" spans="1:10" x14ac:dyDescent="0.25">
      <c r="A6" s="1">
        <v>72</v>
      </c>
      <c r="B6" s="1">
        <v>77</v>
      </c>
      <c r="C6" s="32">
        <f t="shared" si="0"/>
        <v>5</v>
      </c>
      <c r="E6" s="64"/>
      <c r="F6" s="40"/>
      <c r="J6" s="38"/>
    </row>
    <row r="7" spans="1:10" x14ac:dyDescent="0.25">
      <c r="A7" s="1">
        <v>68</v>
      </c>
      <c r="B7" s="1">
        <v>86</v>
      </c>
      <c r="C7" s="32">
        <f t="shared" si="0"/>
        <v>18</v>
      </c>
      <c r="E7" s="64"/>
      <c r="F7" s="41" t="s">
        <v>0</v>
      </c>
      <c r="G7" t="s">
        <v>46</v>
      </c>
      <c r="H7" s="14" t="s">
        <v>68</v>
      </c>
      <c r="J7" s="12">
        <f>J4/SQRT(J5)</f>
        <v>2.4039649787481552</v>
      </c>
    </row>
    <row r="8" spans="1:10" x14ac:dyDescent="0.25">
      <c r="A8" s="1">
        <v>74</v>
      </c>
      <c r="B8" s="1">
        <v>85</v>
      </c>
      <c r="C8" s="32">
        <f>B8-A8</f>
        <v>11</v>
      </c>
      <c r="E8" s="64"/>
      <c r="J8" s="7"/>
    </row>
    <row r="9" spans="1:10" x14ac:dyDescent="0.25">
      <c r="A9" s="1">
        <v>83</v>
      </c>
      <c r="B9" s="1">
        <v>83</v>
      </c>
      <c r="C9" s="32">
        <f t="shared" si="0"/>
        <v>0</v>
      </c>
      <c r="E9" s="64"/>
      <c r="F9" s="42" t="s">
        <v>0</v>
      </c>
      <c r="G9" t="s">
        <v>23</v>
      </c>
      <c r="H9" s="14" t="s">
        <v>69</v>
      </c>
      <c r="J9" s="12">
        <f>_xlfn.T.INV.2T(1-0.9,J5-1)</f>
        <v>1.761310135774893</v>
      </c>
    </row>
    <row r="10" spans="1:10" x14ac:dyDescent="0.25">
      <c r="A10" s="1">
        <v>84</v>
      </c>
      <c r="B10" s="1">
        <v>89</v>
      </c>
      <c r="C10" s="32">
        <f t="shared" si="0"/>
        <v>5</v>
      </c>
      <c r="E10" s="64"/>
      <c r="F10" s="42"/>
      <c r="H10" s="10"/>
      <c r="J10" s="11"/>
    </row>
    <row r="11" spans="1:10" x14ac:dyDescent="0.25">
      <c r="A11" s="1">
        <v>42</v>
      </c>
      <c r="B11" s="1">
        <v>40</v>
      </c>
      <c r="C11" s="32">
        <f t="shared" si="0"/>
        <v>-2</v>
      </c>
      <c r="E11" s="64"/>
      <c r="F11" s="42" t="s">
        <v>0</v>
      </c>
      <c r="G11" t="s">
        <v>24</v>
      </c>
      <c r="H11" s="14" t="s">
        <v>70</v>
      </c>
      <c r="J11" s="12">
        <f>J7*J9</f>
        <v>4.2341278831170008</v>
      </c>
    </row>
    <row r="12" spans="1:10" ht="15.75" thickBot="1" x14ac:dyDescent="0.3">
      <c r="A12" s="1">
        <v>75</v>
      </c>
      <c r="B12" s="1">
        <v>85</v>
      </c>
      <c r="C12" s="32">
        <f t="shared" si="0"/>
        <v>10</v>
      </c>
      <c r="E12" s="64"/>
      <c r="F12" s="42"/>
      <c r="H12" s="10"/>
      <c r="J12" s="11"/>
    </row>
    <row r="13" spans="1:10" ht="15.75" thickBot="1" x14ac:dyDescent="0.3">
      <c r="A13" s="1">
        <v>73</v>
      </c>
      <c r="B13" s="1">
        <v>99</v>
      </c>
      <c r="C13" s="32">
        <f t="shared" si="0"/>
        <v>26</v>
      </c>
      <c r="E13" s="64"/>
      <c r="H13" s="17" t="s">
        <v>26</v>
      </c>
      <c r="I13" s="18"/>
      <c r="J13" s="19" t="s">
        <v>27</v>
      </c>
    </row>
    <row r="14" spans="1:10" ht="15.75" thickBot="1" x14ac:dyDescent="0.3">
      <c r="A14" s="1">
        <v>70</v>
      </c>
      <c r="B14" s="1">
        <v>92</v>
      </c>
      <c r="C14" s="32">
        <f t="shared" si="0"/>
        <v>22</v>
      </c>
      <c r="E14" s="65"/>
      <c r="F14" s="43" t="s">
        <v>0</v>
      </c>
      <c r="G14" s="8" t="s">
        <v>25</v>
      </c>
      <c r="H14" s="27">
        <f>J3-J11</f>
        <v>10.165872116883</v>
      </c>
      <c r="I14" s="28"/>
      <c r="J14" s="29">
        <f>J3+J11</f>
        <v>18.634127883117003</v>
      </c>
    </row>
    <row r="15" spans="1:10" ht="15.75" thickTop="1" x14ac:dyDescent="0.25">
      <c r="A15" s="1">
        <v>62</v>
      </c>
      <c r="B15" s="1">
        <v>85</v>
      </c>
      <c r="C15" s="32">
        <f t="shared" si="0"/>
        <v>23</v>
      </c>
    </row>
    <row r="16" spans="1:10" ht="14.65" customHeight="1" thickBot="1" x14ac:dyDescent="0.3">
      <c r="A16" s="1">
        <v>57</v>
      </c>
      <c r="B16" s="1">
        <v>83</v>
      </c>
      <c r="C16" s="32">
        <f t="shared" si="0"/>
        <v>26</v>
      </c>
    </row>
    <row r="17" spans="5:10" ht="16.5" thickTop="1" thickBot="1" x14ac:dyDescent="0.3">
      <c r="E17" s="59" t="s">
        <v>51</v>
      </c>
      <c r="F17" s="62" t="s">
        <v>37</v>
      </c>
      <c r="G17" s="47"/>
      <c r="H17" s="5" t="s">
        <v>13</v>
      </c>
      <c r="I17" s="5"/>
      <c r="J17" s="6" t="s">
        <v>14</v>
      </c>
    </row>
    <row r="18" spans="5:10" x14ac:dyDescent="0.25">
      <c r="E18" s="60"/>
      <c r="F18" s="45"/>
      <c r="G18" t="s">
        <v>40</v>
      </c>
      <c r="H18" s="54" t="s">
        <v>53</v>
      </c>
      <c r="J18" s="12">
        <f>30/41</f>
        <v>0.73170731707317072</v>
      </c>
    </row>
    <row r="19" spans="5:10" x14ac:dyDescent="0.25">
      <c r="E19" s="60"/>
      <c r="F19" s="40"/>
      <c r="G19" t="s">
        <v>43</v>
      </c>
      <c r="H19" s="55"/>
      <c r="J19" s="12">
        <f>1-J18</f>
        <v>0.26829268292682928</v>
      </c>
    </row>
    <row r="20" spans="5:10" x14ac:dyDescent="0.25">
      <c r="E20" s="60"/>
      <c r="F20" s="40"/>
      <c r="G20" t="s">
        <v>41</v>
      </c>
      <c r="H20" s="55"/>
      <c r="J20" s="13">
        <v>41</v>
      </c>
    </row>
    <row r="21" spans="5:10" x14ac:dyDescent="0.25">
      <c r="E21" s="60"/>
      <c r="F21" s="40"/>
      <c r="G21" t="s">
        <v>54</v>
      </c>
      <c r="H21" s="55"/>
      <c r="J21" s="12">
        <f>23/38</f>
        <v>0.60526315789473684</v>
      </c>
    </row>
    <row r="22" spans="5:10" x14ac:dyDescent="0.25">
      <c r="E22" s="60"/>
      <c r="F22" s="40"/>
      <c r="G22" t="s">
        <v>44</v>
      </c>
      <c r="H22" s="55"/>
      <c r="J22" s="12">
        <f>1-J21</f>
        <v>0.39473684210526316</v>
      </c>
    </row>
    <row r="23" spans="5:10" x14ac:dyDescent="0.25">
      <c r="E23" s="60"/>
      <c r="F23" s="40"/>
      <c r="G23" t="s">
        <v>42</v>
      </c>
      <c r="H23" s="55"/>
      <c r="J23" s="13">
        <v>38</v>
      </c>
    </row>
    <row r="24" spans="5:10" ht="15.75" thickBot="1" x14ac:dyDescent="0.3">
      <c r="E24" s="60"/>
      <c r="F24" s="40"/>
      <c r="G24" t="s">
        <v>38</v>
      </c>
      <c r="H24" s="56"/>
      <c r="J24" s="12">
        <f>J18-J21</f>
        <v>0.12644415917843388</v>
      </c>
    </row>
    <row r="25" spans="5:10" x14ac:dyDescent="0.25">
      <c r="E25" s="60"/>
      <c r="F25" s="40"/>
      <c r="H25" s="44"/>
      <c r="J25" s="11"/>
    </row>
    <row r="26" spans="5:10" x14ac:dyDescent="0.25">
      <c r="E26" s="60"/>
      <c r="F26" s="41" t="s">
        <v>0</v>
      </c>
      <c r="G26" t="s">
        <v>46</v>
      </c>
      <c r="H26" s="14" t="s">
        <v>71</v>
      </c>
      <c r="J26" s="12">
        <f>SQRT(((J18*J19)/J20)+((J21*J22)/J23))</f>
        <v>0.1052399657258436</v>
      </c>
    </row>
    <row r="27" spans="5:10" x14ac:dyDescent="0.25">
      <c r="E27" s="60"/>
      <c r="J27" s="7"/>
    </row>
    <row r="28" spans="5:10" x14ac:dyDescent="0.25">
      <c r="E28" s="60"/>
      <c r="F28" s="42" t="s">
        <v>0</v>
      </c>
      <c r="G28" t="s">
        <v>23</v>
      </c>
      <c r="H28" s="14" t="s">
        <v>59</v>
      </c>
      <c r="J28" s="12">
        <f>_xlfn.NORM.S.INV(0.9+(1-0.9)/2)</f>
        <v>1.6448536269514715</v>
      </c>
    </row>
    <row r="29" spans="5:10" x14ac:dyDescent="0.25">
      <c r="E29" s="60"/>
      <c r="F29" s="42"/>
      <c r="H29" s="10"/>
      <c r="J29" s="11"/>
    </row>
    <row r="30" spans="5:10" x14ac:dyDescent="0.25">
      <c r="E30" s="60"/>
      <c r="F30" s="42" t="s">
        <v>0</v>
      </c>
      <c r="G30" t="s">
        <v>24</v>
      </c>
      <c r="H30" s="14" t="s">
        <v>72</v>
      </c>
      <c r="J30" s="12">
        <f>J26*J28</f>
        <v>0.17310433932440239</v>
      </c>
    </row>
    <row r="31" spans="5:10" ht="15.75" thickBot="1" x14ac:dyDescent="0.3">
      <c r="E31" s="60"/>
      <c r="F31" s="42"/>
      <c r="H31" s="10"/>
      <c r="J31" s="11"/>
    </row>
    <row r="32" spans="5:10" ht="15.75" thickBot="1" x14ac:dyDescent="0.3">
      <c r="E32" s="60"/>
      <c r="H32" s="17" t="s">
        <v>48</v>
      </c>
      <c r="I32" s="18"/>
      <c r="J32" s="19" t="s">
        <v>27</v>
      </c>
    </row>
    <row r="33" spans="5:10" ht="15.75" thickBot="1" x14ac:dyDescent="0.3">
      <c r="E33" s="61"/>
      <c r="F33" s="43" t="s">
        <v>0</v>
      </c>
      <c r="G33" s="8" t="s">
        <v>25</v>
      </c>
      <c r="H33" s="27">
        <f>J24-J30</f>
        <v>-4.6660180145968511E-2</v>
      </c>
      <c r="I33" s="28"/>
      <c r="J33" s="29">
        <f>J24+J30</f>
        <v>0.29954849850283627</v>
      </c>
    </row>
    <row r="34" spans="5:10" ht="15.75" thickTop="1" x14ac:dyDescent="0.25"/>
  </sheetData>
  <sheetProtection algorithmName="SHA-512" hashValue="uHrGqmAf688Ec4VCJ7rPGCrZ4BmjRKuNe1TfxjVZ5/tBzF+Wu1uMVdDciFMcn3+vsQJqD65S6bcpDCHbsqSl5g==" saltValue="gOwD1LX8fNkma1ACIaMWaQ==" spinCount="100000" sheet="1" objects="1" scenarios="1"/>
  <mergeCells count="6">
    <mergeCell ref="H3:H5"/>
    <mergeCell ref="H18:H24"/>
    <mergeCell ref="E17:E33"/>
    <mergeCell ref="F2:G2"/>
    <mergeCell ref="F17:G17"/>
    <mergeCell ref="E2:E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Chapter 7</vt:lpstr>
      <vt:lpstr>Chapter 8 - Means</vt:lpstr>
      <vt:lpstr>Chapter 8 - Proportions</vt:lpstr>
      <vt:lpstr>Chaper 9 - Two Samples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Kimberly Brehm</dc:creator>
  <cp:lastModifiedBy>Wade Eckert</cp:lastModifiedBy>
  <dcterms:created xsi:type="dcterms:W3CDTF">2023-12-01T21:20:13Z</dcterms:created>
  <dcterms:modified xsi:type="dcterms:W3CDTF">2025-05-01T08:38:21Z</dcterms:modified>
</cp:coreProperties>
</file>