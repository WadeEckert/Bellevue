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pring 2025 Term\Statistics\BB Topics\BB Week 7\"/>
    </mc:Choice>
  </mc:AlternateContent>
  <xr:revisionPtr revIDLastSave="0" documentId="13_ncr:1_{200B5566-3E46-4845-B082-37E1D68E213B}" xr6:coauthVersionLast="47" xr6:coauthVersionMax="47" xr10:uidLastSave="{00000000-0000-0000-0000-000000000000}"/>
  <bookViews>
    <workbookView xWindow="-120" yWindow="-120" windowWidth="29040" windowHeight="15840" xr2:uid="{642A8F2A-EECC-48F9-9DBA-ADE1DBE3B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D9" i="1"/>
  <c r="D7" i="1"/>
  <c r="D12" i="1"/>
  <c r="D13" i="1" l="1"/>
  <c r="D14" i="1" s="1"/>
  <c r="D16" i="1" l="1"/>
  <c r="D17" i="1"/>
</calcChain>
</file>

<file path=xl/sharedStrings.xml><?xml version="1.0" encoding="utf-8"?>
<sst xmlns="http://schemas.openxmlformats.org/spreadsheetml/2006/main" count="24" uniqueCount="24">
  <si>
    <t>Peanut M&amp;M Sharing Size (oz)</t>
  </si>
  <si>
    <t>Means (σ unknown) (8.3)</t>
  </si>
  <si>
    <t>E= (tα2)(s/sqrt(n))</t>
  </si>
  <si>
    <t>Where tα2 is the student's critical t-score</t>
  </si>
  <si>
    <t>s is the sample standard deviation</t>
  </si>
  <si>
    <t>and n is the sample size</t>
  </si>
  <si>
    <t>Sample Mean (x-bar):</t>
  </si>
  <si>
    <t>Sample SD (s):</t>
  </si>
  <si>
    <t>Sample Size (n):</t>
  </si>
  <si>
    <t>Confidence Level (c):</t>
  </si>
  <si>
    <t>Critical Value (tα2):</t>
  </si>
  <si>
    <t>Standard Error:</t>
  </si>
  <si>
    <t>Margin of Error (E):</t>
  </si>
  <si>
    <t>Lower Limit:</t>
  </si>
  <si>
    <t>Upper Limit:</t>
  </si>
  <si>
    <t>Formula Used:</t>
  </si>
  <si>
    <t xml:space="preserve"> =AVERAGE(A2:A16)</t>
  </si>
  <si>
    <t xml:space="preserve"> =STDEV.S(A2:A16)</t>
  </si>
  <si>
    <t xml:space="preserve"> =COUNT(A2:A16)</t>
  </si>
  <si>
    <t xml:space="preserve"> =T.INV.2T(1-D10,D9-1)</t>
  </si>
  <si>
    <t xml:space="preserve"> =D8/SQRT(D9)</t>
  </si>
  <si>
    <t xml:space="preserve"> =D12*D13</t>
  </si>
  <si>
    <t xml:space="preserve"> =D7-D14</t>
  </si>
  <si>
    <t xml:space="preserve"> =D7+D14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</si>
</sst>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F148-FCC3-4EA2-B3B4-BEC0F6337CAD}">
  <dimension ref="A1:F17"/>
  <sheetViews>
    <sheetView tabSelected="1" workbookViewId="0">
      <selection activeCell="I6" sqref="I6"/>
    </sheetView>
  </sheetViews>
  <sheetFormatPr defaultRowHeight="15" x14ac:dyDescent="0.25"/>
  <cols>
    <col min="1" max="1" width="26" style="1" bestFit="1" customWidth="1"/>
    <col min="3" max="3" width="26.7109375" customWidth="1"/>
    <col min="4" max="4" width="19.28515625" customWidth="1"/>
    <col min="6" max="6" width="21.140625" bestFit="1" customWidth="1"/>
  </cols>
  <sheetData>
    <row r="1" spans="1:6" ht="18.75" x14ac:dyDescent="0.3">
      <c r="A1" s="1" t="s">
        <v>0</v>
      </c>
      <c r="C1" s="2" t="s">
        <v>1</v>
      </c>
      <c r="D1" s="2"/>
    </row>
    <row r="2" spans="1:6" ht="18.75" x14ac:dyDescent="0.3">
      <c r="A2" s="1">
        <v>10.210000000000001</v>
      </c>
      <c r="C2" s="3" t="s">
        <v>2</v>
      </c>
      <c r="D2" s="3"/>
    </row>
    <row r="3" spans="1:6" x14ac:dyDescent="0.25">
      <c r="A3" s="1">
        <v>10.83</v>
      </c>
      <c r="C3" s="4" t="s">
        <v>3</v>
      </c>
      <c r="D3" s="4"/>
    </row>
    <row r="4" spans="1:6" x14ac:dyDescent="0.25">
      <c r="A4" s="1">
        <v>10.5</v>
      </c>
      <c r="C4" s="4" t="s">
        <v>4</v>
      </c>
      <c r="D4" s="4"/>
    </row>
    <row r="5" spans="1:6" x14ac:dyDescent="0.25">
      <c r="A5" s="1">
        <v>10.69</v>
      </c>
      <c r="C5" s="4" t="s">
        <v>5</v>
      </c>
      <c r="D5" s="4"/>
    </row>
    <row r="6" spans="1:6" x14ac:dyDescent="0.25">
      <c r="A6" s="1">
        <v>10.45</v>
      </c>
      <c r="F6" s="7" t="s">
        <v>15</v>
      </c>
    </row>
    <row r="7" spans="1:6" x14ac:dyDescent="0.25">
      <c r="A7" s="1">
        <v>10.67</v>
      </c>
      <c r="C7" s="5" t="s">
        <v>6</v>
      </c>
      <c r="D7">
        <f>AVERAGE(A2:A16)</f>
        <v>10.656666666666666</v>
      </c>
      <c r="F7" s="1" t="s">
        <v>16</v>
      </c>
    </row>
    <row r="8" spans="1:6" x14ac:dyDescent="0.25">
      <c r="A8" s="1">
        <v>10.56</v>
      </c>
      <c r="C8" s="5" t="s">
        <v>7</v>
      </c>
      <c r="D8">
        <f>_xlfn.STDEV.S(A2:A16)</f>
        <v>0.22493385271060937</v>
      </c>
      <c r="F8" s="1" t="s">
        <v>17</v>
      </c>
    </row>
    <row r="9" spans="1:6" x14ac:dyDescent="0.25">
      <c r="A9" s="1">
        <v>10.8</v>
      </c>
      <c r="C9" s="5" t="s">
        <v>8</v>
      </c>
      <c r="D9">
        <f>COUNT(A2:A16)</f>
        <v>15</v>
      </c>
      <c r="F9" s="1" t="s">
        <v>18</v>
      </c>
    </row>
    <row r="10" spans="1:6" x14ac:dyDescent="0.25">
      <c r="A10" s="1">
        <v>10.45</v>
      </c>
      <c r="C10" s="5" t="s">
        <v>9</v>
      </c>
      <c r="D10">
        <v>0.95</v>
      </c>
    </row>
    <row r="11" spans="1:6" x14ac:dyDescent="0.25">
      <c r="A11" s="1">
        <v>10.77</v>
      </c>
      <c r="C11" s="5"/>
    </row>
    <row r="12" spans="1:6" x14ac:dyDescent="0.25">
      <c r="A12" s="1">
        <v>10.89</v>
      </c>
      <c r="C12" s="5" t="s">
        <v>10</v>
      </c>
      <c r="D12" s="6">
        <f>_xlfn.T.INV.2T(1-D10,D9-1)</f>
        <v>2.1447866879178035</v>
      </c>
      <c r="F12" s="1" t="s">
        <v>19</v>
      </c>
    </row>
    <row r="13" spans="1:6" x14ac:dyDescent="0.25">
      <c r="A13" s="1">
        <v>10.43</v>
      </c>
      <c r="C13" s="5" t="s">
        <v>11</v>
      </c>
      <c r="D13" s="6">
        <f>D8/SQRT(D9)</f>
        <v>5.8077671036430807E-2</v>
      </c>
      <c r="F13" s="1" t="s">
        <v>20</v>
      </c>
    </row>
    <row r="14" spans="1:6" x14ac:dyDescent="0.25">
      <c r="A14" s="1">
        <v>10.7</v>
      </c>
      <c r="C14" s="5" t="s">
        <v>12</v>
      </c>
      <c r="D14" s="6">
        <f>D12*D13</f>
        <v>0.12456421570420617</v>
      </c>
      <c r="F14" s="1" t="s">
        <v>21</v>
      </c>
    </row>
    <row r="15" spans="1:6" x14ac:dyDescent="0.25">
      <c r="A15" s="1">
        <v>11.1</v>
      </c>
    </row>
    <row r="16" spans="1:6" x14ac:dyDescent="0.25">
      <c r="A16" s="1">
        <v>10.8</v>
      </c>
      <c r="C16" s="5" t="s">
        <v>13</v>
      </c>
      <c r="D16" s="6">
        <f>D7-D14</f>
        <v>10.53210245096246</v>
      </c>
      <c r="F16" s="1" t="s">
        <v>22</v>
      </c>
    </row>
    <row r="17" spans="3:6" x14ac:dyDescent="0.25">
      <c r="C17" s="5" t="s">
        <v>14</v>
      </c>
      <c r="D17" s="6">
        <f>D7+D14</f>
        <v>10.781230882370872</v>
      </c>
      <c r="F17" s="1" t="s">
        <v>23</v>
      </c>
    </row>
  </sheetData>
  <mergeCells count="5">
    <mergeCell ref="C1:D1"/>
    <mergeCell ref="C2:D2"/>
    <mergeCell ref="C3:D3"/>
    <mergeCell ref="C4:D4"/>
    <mergeCell ref="C5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ea09d505-438d-4d09-9c5a-b849def5284c" xsi:nil="true"/>
    <Student_Groups xmlns="ea09d505-438d-4d09-9c5a-b849def5284c">
      <UserInfo>
        <DisplayName/>
        <AccountId xsi:nil="true"/>
        <AccountType/>
      </UserInfo>
    </Student_Groups>
    <AppVersion xmlns="ea09d505-438d-4d09-9c5a-b849def5284c" xsi:nil="true"/>
    <LMS_Mappings xmlns="ea09d505-438d-4d09-9c5a-b849def5284c" xsi:nil="true"/>
    <Owner xmlns="ea09d505-438d-4d09-9c5a-b849def5284c">
      <UserInfo>
        <DisplayName/>
        <AccountId xsi:nil="true"/>
        <AccountType/>
      </UserInfo>
    </Owner>
    <Students xmlns="ea09d505-438d-4d09-9c5a-b849def5284c">
      <UserInfo>
        <DisplayName/>
        <AccountId xsi:nil="true"/>
        <AccountType/>
      </UserInfo>
    </Students>
    <Math_Settings xmlns="ea09d505-438d-4d09-9c5a-b849def5284c" xsi:nil="true"/>
    <DefaultSectionNames xmlns="ea09d505-438d-4d09-9c5a-b849def5284c" xsi:nil="true"/>
    <FolderType xmlns="ea09d505-438d-4d09-9c5a-b849def5284c" xsi:nil="true"/>
    <Templates xmlns="ea09d505-438d-4d09-9c5a-b849def5284c" xsi:nil="true"/>
    <Has_Teacher_Only_SectionGroup xmlns="ea09d505-438d-4d09-9c5a-b849def5284c" xsi:nil="true"/>
    <Members xmlns="ea09d505-438d-4d09-9c5a-b849def5284c">
      <UserInfo>
        <DisplayName/>
        <AccountId xsi:nil="true"/>
        <AccountType/>
      </UserInfo>
    </Members>
    <Is_Collaboration_Space_Locked xmlns="ea09d505-438d-4d09-9c5a-b849def5284c" xsi:nil="true"/>
    <Invited_Teachers xmlns="ea09d505-438d-4d09-9c5a-b849def5284c" xsi:nil="true"/>
    <Invited_Students xmlns="ea09d505-438d-4d09-9c5a-b849def5284c" xsi:nil="true"/>
    <IsNotebookLocked xmlns="ea09d505-438d-4d09-9c5a-b849def5284c" xsi:nil="true"/>
    <Teachers xmlns="ea09d505-438d-4d09-9c5a-b849def5284c">
      <UserInfo>
        <DisplayName/>
        <AccountId xsi:nil="true"/>
        <AccountType/>
      </UserInfo>
    </Teachers>
    <Leaders xmlns="ea09d505-438d-4d09-9c5a-b849def5284c">
      <UserInfo>
        <DisplayName/>
        <AccountId xsi:nil="true"/>
        <AccountType/>
      </UserInfo>
    </Leaders>
    <Member_Groups xmlns="ea09d505-438d-4d09-9c5a-b849def5284c">
      <UserInfo>
        <DisplayName/>
        <AccountId xsi:nil="true"/>
        <AccountType/>
      </UserInfo>
    </Member_Groups>
    <Has_Leaders_Only_SectionGroup xmlns="ea09d505-438d-4d09-9c5a-b849def5284c" xsi:nil="true"/>
    <Invited_Members xmlns="ea09d505-438d-4d09-9c5a-b849def5284c" xsi:nil="true"/>
    <TeamsChannelId xmlns="ea09d505-438d-4d09-9c5a-b849def5284c" xsi:nil="true"/>
    <Invited_Leaders xmlns="ea09d505-438d-4d09-9c5a-b849def5284c" xsi:nil="true"/>
    <CultureName xmlns="ea09d505-438d-4d09-9c5a-b849def5284c" xsi:nil="true"/>
    <Distribution_Groups xmlns="ea09d505-438d-4d09-9c5a-b849def5284c" xsi:nil="true"/>
    <Self_Registration_Enabled xmlns="ea09d505-438d-4d09-9c5a-b849def528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7942ECF34554784555DD2E74409C9" ma:contentTypeVersion="39" ma:contentTypeDescription="Create a new document." ma:contentTypeScope="" ma:versionID="d834431926e4d07b5cdb4633e04e5096">
  <xsd:schema xmlns:xsd="http://www.w3.org/2001/XMLSchema" xmlns:xs="http://www.w3.org/2001/XMLSchema" xmlns:p="http://schemas.microsoft.com/office/2006/metadata/properties" xmlns:ns3="ea09d505-438d-4d09-9c5a-b849def5284c" xmlns:ns4="4d6a2e08-aa6c-40f1-a7b6-2a604f7a7244" targetNamespace="http://schemas.microsoft.com/office/2006/metadata/properties" ma:root="true" ma:fieldsID="72206411a4dc5fadaf67f9c1df9633ae" ns3:_="" ns4:_="">
    <xsd:import namespace="ea09d505-438d-4d09-9c5a-b849def5284c"/>
    <xsd:import namespace="4d6a2e08-aa6c-40f1-a7b6-2a604f7a72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ServiceEventHashCode" minOccurs="0"/>
                <xsd:element ref="ns3:MediaServiceGenerationTime" minOccurs="0"/>
                <xsd:element ref="ns3:Math_Setting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Has_Leaders_Only_SectionGroup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9d505-438d-4d09-9c5a-b849def52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7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8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9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0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1" nillable="true" ma:displayName="Is Collaboration Space Locked" ma:internalName="Is_Collaboration_Space_Locked">
      <xsd:simpleType>
        <xsd:restriction base="dms:Boolean"/>
      </xsd:simpleType>
    </xsd:element>
    <xsd:element name="IsNotebookLocked" ma:index="32" nillable="true" ma:displayName="Is Notebook Locked" ma:internalName="IsNotebookLocked">
      <xsd:simpleType>
        <xsd:restriction base="dms:Boolean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ath_Settings" ma:index="35" nillable="true" ma:displayName="Math Settings" ma:internalName="Math_Settings">
      <xsd:simpleType>
        <xsd:restriction base="dms:Text"/>
      </xsd:simpleType>
    </xsd:element>
    <xsd:element name="Leaders" ma:index="36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37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38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9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40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41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42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Has_Leaders_Only_SectionGroup" ma:index="43" nillable="true" ma:displayName="Has Leaders Only SectionGroup" ma:internalName="Has_Leaders_Only_SectionGroup">
      <xsd:simpleType>
        <xsd:restriction base="dms:Boolean"/>
      </xsd:simpleType>
    </xsd:element>
    <xsd:element name="MediaServiceAutoKeyPoints" ma:index="4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4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a2e08-aa6c-40f1-a7b6-2a604f7a724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60666B-56B3-446F-B0B1-1B8447DC3FAC}">
  <ds:schemaRefs>
    <ds:schemaRef ds:uri="http://schemas.microsoft.com/office/2006/metadata/properties"/>
    <ds:schemaRef ds:uri="http://schemas.microsoft.com/office/infopath/2007/PartnerControls"/>
    <ds:schemaRef ds:uri="ea09d505-438d-4d09-9c5a-b849def5284c"/>
  </ds:schemaRefs>
</ds:datastoreItem>
</file>

<file path=customXml/itemProps2.xml><?xml version="1.0" encoding="utf-8"?>
<ds:datastoreItem xmlns:ds="http://schemas.openxmlformats.org/officeDocument/2006/customXml" ds:itemID="{4CA061BE-51AC-43BD-8B7B-B524963C0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46014E-EE94-429F-BC7E-AFDB2B846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9d505-438d-4d09-9c5a-b849def5284c"/>
    <ds:schemaRef ds:uri="4d6a2e08-aa6c-40f1-a7b6-2a604f7a7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Brehm</dc:creator>
  <cp:lastModifiedBy>wade eckert</cp:lastModifiedBy>
  <dcterms:created xsi:type="dcterms:W3CDTF">2020-06-03T22:02:39Z</dcterms:created>
  <dcterms:modified xsi:type="dcterms:W3CDTF">2025-04-24T05:45:50Z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0x0101009E47942ECF34554784555DD2E74409C9</vt:lpwstr>
  </property>
</Properties>
</file>