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Spring 2025 Term\Statistics\Unit Projects\Unit 2 Project\"/>
    </mc:Choice>
  </mc:AlternateContent>
  <xr:revisionPtr revIDLastSave="0" documentId="13_ncr:1_{EE17F476-52F0-4483-89D6-C436F008624F}" xr6:coauthVersionLast="47" xr6:coauthVersionMax="47" xr10:uidLastSave="{00000000-0000-0000-0000-000000000000}"/>
  <bookViews>
    <workbookView xWindow="14400" yWindow="0" windowWidth="14400" windowHeight="15600" activeTab="3" xr2:uid="{CDFE7B2C-F2A6-4530-8663-EDCA9EA5E257}"/>
  </bookViews>
  <sheets>
    <sheet name="Question 1" sheetId="1" r:id="rId1"/>
    <sheet name="Question 2" sheetId="3" r:id="rId2"/>
    <sheet name="Question 3" sheetId="5" r:id="rId3"/>
    <sheet name="Question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4" l="1"/>
  <c r="E16" i="4"/>
  <c r="I14" i="4"/>
  <c r="E14" i="4"/>
  <c r="I9" i="4"/>
  <c r="E9" i="4"/>
  <c r="I7" i="4"/>
  <c r="E7" i="4"/>
  <c r="I5" i="4"/>
  <c r="E5" i="4"/>
  <c r="F5" i="5"/>
  <c r="F4" i="5"/>
  <c r="E4" i="5"/>
  <c r="D4" i="5"/>
  <c r="C4" i="5"/>
  <c r="H4" i="5" s="1"/>
  <c r="E11" i="3"/>
  <c r="E9" i="3"/>
  <c r="E7" i="3"/>
  <c r="E5" i="3"/>
  <c r="E3" i="3"/>
  <c r="E13" i="1"/>
  <c r="E11" i="1"/>
  <c r="E9" i="1"/>
  <c r="E7" i="1"/>
  <c r="E5" i="1"/>
  <c r="E3" i="1"/>
</calcChain>
</file>

<file path=xl/sharedStrings.xml><?xml version="1.0" encoding="utf-8"?>
<sst xmlns="http://schemas.openxmlformats.org/spreadsheetml/2006/main" count="54" uniqueCount="40">
  <si>
    <t>Input</t>
  </si>
  <si>
    <t>Output</t>
  </si>
  <si>
    <t>=1/6</t>
  </si>
  <si>
    <t>Example</t>
  </si>
  <si>
    <t>Screenshot the boxed area once complete</t>
  </si>
  <si>
    <t>x</t>
  </si>
  <si>
    <t>P(X=x)</t>
  </si>
  <si>
    <t>E(X)=</t>
  </si>
  <si>
    <t>Don't Use Coupon</t>
  </si>
  <si>
    <t>Use Coupon Only</t>
  </si>
  <si>
    <t>Function used for E(X)</t>
  </si>
  <si>
    <t>Use Coupon for Small Purchase</t>
  </si>
  <si>
    <t>Use Coupon for Large Purchase</t>
  </si>
  <si>
    <t>Sum (Should Be 1)</t>
  </si>
  <si>
    <t>Part I</t>
  </si>
  <si>
    <t>Part II</t>
  </si>
  <si>
    <t>Z-Score</t>
  </si>
  <si>
    <t>Probability</t>
  </si>
  <si>
    <t>Value</t>
  </si>
  <si>
    <t>=4/20 or =1/5</t>
  </si>
  <si>
    <t>=((3/19)+(12/19))-(2/19)</t>
  </si>
  <si>
    <t>=32/36</t>
  </si>
  <si>
    <t>=(0.15)^4</t>
  </si>
  <si>
    <t>=(5/15)*(4/14)</t>
  </si>
  <si>
    <t>=combin(15,2)*combin(30,2)</t>
  </si>
  <si>
    <t>=fact(10)/(fact(3)*fact(2))</t>
  </si>
  <si>
    <t>=(COMBIN(20,1)*COMBIN(15,4)) + (COMBIN(20,2) * COMBIN(15,3))</t>
  </si>
  <si>
    <t>=PERMUT(15,11)</t>
  </si>
  <si>
    <t>=9*9*8*7*6</t>
  </si>
  <si>
    <t>=SUMPRODUCT(C3:F3,C4:F4)</t>
  </si>
  <si>
    <t>=STANDARDIZE(132,100,15)</t>
  </si>
  <si>
    <t>=1-NORM.S.DIST(2.1333,1)</t>
  </si>
  <si>
    <t>=STANDARDIZE(50,100,15)</t>
  </si>
  <si>
    <t>=NORM.S.DIST(-3.3333,1)</t>
  </si>
  <si>
    <t>=STANDARDIZE(120,100,15)</t>
  </si>
  <si>
    <t>=norm.s.dist(1.333,1)-norm.s.dist(-1.333,1)</t>
  </si>
  <si>
    <t>=NORM.S.INV(0.25)</t>
  </si>
  <si>
    <t>=NORM.INV(0.25,207,12)</t>
  </si>
  <si>
    <t>=NORM.S.INV(0.9)</t>
  </si>
  <si>
    <t>=NORM.INV(0.9,207,12)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</si>
</sst>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&quot;$&quot;#,##0.00"/>
    <numFmt numFmtId="166" formatCode="&quot;$&quot;#,##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1" xfId="0" applyBorder="1"/>
    <xf numFmtId="49" fontId="1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0" fontId="0" fillId="0" borderId="4" xfId="0" applyBorder="1"/>
    <xf numFmtId="164" fontId="1" fillId="0" borderId="5" xfId="0" applyNumberFormat="1" applyFont="1" applyBorder="1" applyAlignment="1">
      <alignment horizontal="center"/>
    </xf>
    <xf numFmtId="49" fontId="1" fillId="2" borderId="0" xfId="0" applyNumberFormat="1" applyFont="1" applyFill="1" applyAlignment="1" applyProtection="1">
      <alignment horizontal="center"/>
      <protection locked="0"/>
    </xf>
    <xf numFmtId="16" fontId="0" fillId="0" borderId="0" xfId="0" applyNumberFormat="1" applyAlignment="1">
      <alignment horizontal="center"/>
    </xf>
    <xf numFmtId="164" fontId="1" fillId="2" borderId="5" xfId="0" applyNumberFormat="1" applyFont="1" applyFill="1" applyBorder="1" applyAlignment="1" applyProtection="1">
      <alignment horizontal="center"/>
      <protection locked="0"/>
    </xf>
    <xf numFmtId="0" fontId="0" fillId="0" borderId="6" xfId="0" applyBorder="1" applyAlignment="1">
      <alignment horizontal="center"/>
    </xf>
    <xf numFmtId="49" fontId="1" fillId="2" borderId="7" xfId="0" applyNumberFormat="1" applyFont="1" applyFill="1" applyBorder="1" applyAlignment="1" applyProtection="1">
      <alignment horizontal="center"/>
      <protection locked="0"/>
    </xf>
    <xf numFmtId="0" fontId="0" fillId="0" borderId="7" xfId="0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2" borderId="5" xfId="0" applyNumberFormat="1" applyFont="1" applyFill="1" applyBorder="1" applyAlignment="1" applyProtection="1">
      <alignment horizontal="center"/>
      <protection locked="0"/>
    </xf>
    <xf numFmtId="1" fontId="1" fillId="0" borderId="5" xfId="0" applyNumberFormat="1" applyFont="1" applyBorder="1" applyAlignment="1">
      <alignment horizontal="center"/>
    </xf>
    <xf numFmtId="1" fontId="1" fillId="2" borderId="8" xfId="0" applyNumberFormat="1" applyFont="1" applyFill="1" applyBorder="1" applyAlignment="1" applyProtection="1">
      <alignment horizontal="center"/>
      <protection locked="0"/>
    </xf>
    <xf numFmtId="0" fontId="2" fillId="0" borderId="9" xfId="0" applyFont="1" applyBorder="1" applyAlignment="1">
      <alignment horizontal="center"/>
    </xf>
    <xf numFmtId="164" fontId="0" fillId="2" borderId="9" xfId="0" applyNumberFormat="1" applyFill="1" applyBorder="1" applyAlignment="1" applyProtection="1">
      <alignment horizontal="center"/>
      <protection locked="0"/>
    </xf>
    <xf numFmtId="165" fontId="0" fillId="2" borderId="9" xfId="0" applyNumberFormat="1" applyFill="1" applyBorder="1" applyAlignment="1" applyProtection="1">
      <alignment horizontal="center"/>
      <protection locked="0"/>
    </xf>
    <xf numFmtId="166" fontId="0" fillId="2" borderId="9" xfId="0" applyNumberFormat="1" applyFill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11" xfId="0" applyFont="1" applyBorder="1" applyAlignment="1">
      <alignment horizontal="center"/>
    </xf>
    <xf numFmtId="0" fontId="0" fillId="0" borderId="5" xfId="0" applyBorder="1"/>
    <xf numFmtId="164" fontId="0" fillId="0" borderId="5" xfId="0" applyNumberFormat="1" applyBorder="1"/>
    <xf numFmtId="0" fontId="2" fillId="0" borderId="0" xfId="0" applyFont="1" applyAlignment="1">
      <alignment horizontal="center"/>
    </xf>
    <xf numFmtId="49" fontId="0" fillId="2" borderId="0" xfId="0" applyNumberFormat="1" applyFill="1" applyAlignment="1" applyProtection="1">
      <alignment horizontal="center"/>
      <protection locked="0"/>
    </xf>
    <xf numFmtId="0" fontId="0" fillId="0" borderId="7" xfId="0" applyBorder="1"/>
    <xf numFmtId="0" fontId="0" fillId="0" borderId="8" xfId="0" applyBorder="1"/>
    <xf numFmtId="164" fontId="1" fillId="2" borderId="0" xfId="0" applyNumberFormat="1" applyFont="1" applyFill="1" applyAlignment="1" applyProtection="1">
      <alignment horizontal="center"/>
      <protection locked="0"/>
    </xf>
    <xf numFmtId="164" fontId="1" fillId="2" borderId="7" xfId="0" applyNumberFormat="1" applyFont="1" applyFill="1" applyBorder="1" applyAlignment="1" applyProtection="1">
      <alignment horizontal="center"/>
      <protection locked="0"/>
    </xf>
    <xf numFmtId="2" fontId="1" fillId="2" borderId="5" xfId="0" applyNumberFormat="1" applyFont="1" applyFill="1" applyBorder="1" applyAlignment="1" applyProtection="1">
      <alignment horizontal="center"/>
      <protection locked="0"/>
    </xf>
    <xf numFmtId="2" fontId="1" fillId="2" borderId="8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/>
    <xf numFmtId="2" fontId="0" fillId="0" borderId="0" xfId="0" applyNumberFormat="1"/>
    <xf numFmtId="49" fontId="1" fillId="0" borderId="4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3" borderId="5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1E50-6DEA-44FB-B4DD-1121BC61F500}">
  <dimension ref="B1:E15"/>
  <sheetViews>
    <sheetView zoomScale="118" workbookViewId="0">
      <selection activeCell="J24" sqref="J24"/>
    </sheetView>
  </sheetViews>
  <sheetFormatPr defaultColWidth="9" defaultRowHeight="15" x14ac:dyDescent="0.25"/>
  <cols>
    <col min="1" max="1" width="2.85546875" customWidth="1"/>
    <col min="3" max="3" width="22.42578125" style="3" bestFit="1" customWidth="1"/>
    <col min="4" max="4" width="3.42578125" style="2" customWidth="1"/>
    <col min="5" max="5" width="13.5703125" style="4" customWidth="1"/>
    <col min="6" max="6" width="3.28515625" customWidth="1"/>
  </cols>
  <sheetData>
    <row r="1" spans="2:5" ht="15.75" thickBot="1" x14ac:dyDescent="0.3"/>
    <row r="2" spans="2:5" ht="14.25" customHeight="1" x14ac:dyDescent="0.25">
      <c r="B2" s="5"/>
      <c r="C2" s="6" t="s">
        <v>0</v>
      </c>
      <c r="D2" s="7"/>
      <c r="E2" s="8" t="s">
        <v>1</v>
      </c>
    </row>
    <row r="3" spans="2:5" ht="14.25" customHeight="1" x14ac:dyDescent="0.25">
      <c r="B3" s="9" t="s">
        <v>3</v>
      </c>
      <c r="C3" s="10" t="s">
        <v>2</v>
      </c>
      <c r="E3" s="11">
        <f>1/6</f>
        <v>0.16666666666666666</v>
      </c>
    </row>
    <row r="4" spans="2:5" ht="14.25" customHeight="1" x14ac:dyDescent="0.25">
      <c r="B4" s="12"/>
      <c r="E4" s="13"/>
    </row>
    <row r="5" spans="2:5" s="1" customFormat="1" x14ac:dyDescent="0.25">
      <c r="B5" s="9">
        <v>1</v>
      </c>
      <c r="C5" s="14" t="s">
        <v>19</v>
      </c>
      <c r="D5" s="15"/>
      <c r="E5" s="11">
        <f>4/20</f>
        <v>0.2</v>
      </c>
    </row>
    <row r="6" spans="2:5" s="1" customFormat="1" x14ac:dyDescent="0.25">
      <c r="B6" s="9"/>
      <c r="C6" s="3"/>
      <c r="D6" s="2"/>
      <c r="E6" s="13"/>
    </row>
    <row r="7" spans="2:5" s="1" customFormat="1" x14ac:dyDescent="0.25">
      <c r="B7" s="9">
        <v>2</v>
      </c>
      <c r="C7" s="14" t="s">
        <v>20</v>
      </c>
      <c r="D7" s="2"/>
      <c r="E7" s="11">
        <f>((3/19)+(12/19))-(2/19)</f>
        <v>0.68421052631578949</v>
      </c>
    </row>
    <row r="8" spans="2:5" s="1" customFormat="1" x14ac:dyDescent="0.25">
      <c r="B8" s="9"/>
      <c r="C8" s="3"/>
      <c r="D8" s="2"/>
      <c r="E8" s="13"/>
    </row>
    <row r="9" spans="2:5" s="1" customFormat="1" x14ac:dyDescent="0.25">
      <c r="B9" s="9">
        <v>3</v>
      </c>
      <c r="C9" s="14" t="s">
        <v>21</v>
      </c>
      <c r="D9" s="2"/>
      <c r="E9" s="11">
        <f>32/36</f>
        <v>0.88888888888888884</v>
      </c>
    </row>
    <row r="10" spans="2:5" s="1" customFormat="1" x14ac:dyDescent="0.25">
      <c r="B10" s="9"/>
      <c r="C10" s="3"/>
      <c r="D10" s="2"/>
      <c r="E10" s="13"/>
    </row>
    <row r="11" spans="2:5" s="1" customFormat="1" x14ac:dyDescent="0.25">
      <c r="B11" s="9">
        <v>4</v>
      </c>
      <c r="C11" s="14" t="s">
        <v>22</v>
      </c>
      <c r="D11" s="2"/>
      <c r="E11" s="11">
        <f>(0.15)^4</f>
        <v>5.0624999999999997E-4</v>
      </c>
    </row>
    <row r="12" spans="2:5" s="1" customFormat="1" x14ac:dyDescent="0.25">
      <c r="B12" s="9"/>
      <c r="C12" s="3"/>
      <c r="D12" s="2"/>
      <c r="E12" s="13"/>
    </row>
    <row r="13" spans="2:5" s="1" customFormat="1" ht="15.75" thickBot="1" x14ac:dyDescent="0.3">
      <c r="B13" s="17">
        <v>5</v>
      </c>
      <c r="C13" s="18" t="s">
        <v>23</v>
      </c>
      <c r="D13" s="19"/>
      <c r="E13" s="50">
        <f>(5/15)*(4/14)</f>
        <v>9.5238095238095233E-2</v>
      </c>
    </row>
    <row r="15" spans="2:5" x14ac:dyDescent="0.25">
      <c r="B15" s="51" t="s">
        <v>4</v>
      </c>
      <c r="C15" s="51"/>
      <c r="D15" s="51"/>
      <c r="E15" s="51"/>
    </row>
  </sheetData>
  <mergeCells count="1">
    <mergeCell ref="B15:E15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06CD-3710-490C-AE10-549091F494E2}">
  <dimension ref="B1:E13"/>
  <sheetViews>
    <sheetView zoomScale="118" workbookViewId="0">
      <selection activeCell="E20" sqref="E20"/>
    </sheetView>
  </sheetViews>
  <sheetFormatPr defaultColWidth="9" defaultRowHeight="15" x14ac:dyDescent="0.25"/>
  <cols>
    <col min="1" max="1" width="2.85546875" customWidth="1"/>
    <col min="3" max="3" width="60.140625" style="3" customWidth="1"/>
    <col min="4" max="4" width="3.42578125" style="2" customWidth="1"/>
    <col min="5" max="5" width="27.42578125" style="20" customWidth="1"/>
    <col min="6" max="6" width="3.28515625" customWidth="1"/>
  </cols>
  <sheetData>
    <row r="1" spans="2:5" ht="15.75" thickBot="1" x14ac:dyDescent="0.3"/>
    <row r="2" spans="2:5" ht="14.25" customHeight="1" x14ac:dyDescent="0.25">
      <c r="B2" s="5"/>
      <c r="C2" s="6" t="s">
        <v>0</v>
      </c>
      <c r="D2" s="7"/>
      <c r="E2" s="21" t="s">
        <v>1</v>
      </c>
    </row>
    <row r="3" spans="2:5" ht="14.25" customHeight="1" x14ac:dyDescent="0.25">
      <c r="B3" s="9">
        <v>1</v>
      </c>
      <c r="C3" s="14" t="s">
        <v>24</v>
      </c>
      <c r="D3" s="15"/>
      <c r="E3" s="22">
        <f>COMBIN(15,2)*COMBIN(30,2)</f>
        <v>45675</v>
      </c>
    </row>
    <row r="4" spans="2:5" ht="14.25" customHeight="1" x14ac:dyDescent="0.25">
      <c r="B4" s="9"/>
      <c r="E4" s="23"/>
    </row>
    <row r="5" spans="2:5" s="1" customFormat="1" x14ac:dyDescent="0.25">
      <c r="B5" s="9">
        <v>2</v>
      </c>
      <c r="C5" s="14" t="s">
        <v>25</v>
      </c>
      <c r="D5" s="2"/>
      <c r="E5" s="22">
        <f>FACT(10)/(FACT(3)*FACT(2))</f>
        <v>302400</v>
      </c>
    </row>
    <row r="6" spans="2:5" s="1" customFormat="1" x14ac:dyDescent="0.25">
      <c r="B6" s="9"/>
      <c r="C6" s="3"/>
      <c r="D6" s="2"/>
      <c r="E6" s="23"/>
    </row>
    <row r="7" spans="2:5" s="1" customFormat="1" x14ac:dyDescent="0.25">
      <c r="B7" s="9">
        <v>3</v>
      </c>
      <c r="C7" s="14" t="s">
        <v>26</v>
      </c>
      <c r="D7" s="2"/>
      <c r="E7" s="22">
        <f>(COMBIN(20,1)*COMBIN(15,4)) + (COMBIN(20,2) * COMBIN(15,3))</f>
        <v>113750.00000000001</v>
      </c>
    </row>
    <row r="8" spans="2:5" s="1" customFormat="1" x14ac:dyDescent="0.25">
      <c r="B8" s="9"/>
      <c r="C8" s="3"/>
      <c r="D8" s="2"/>
      <c r="E8" s="23"/>
    </row>
    <row r="9" spans="2:5" s="1" customFormat="1" x14ac:dyDescent="0.25">
      <c r="B9" s="9">
        <v>4</v>
      </c>
      <c r="C9" s="14" t="s">
        <v>27</v>
      </c>
      <c r="D9" s="2"/>
      <c r="E9" s="22">
        <f>PERMUT(15,11)</f>
        <v>54486432000</v>
      </c>
    </row>
    <row r="10" spans="2:5" s="1" customFormat="1" x14ac:dyDescent="0.25">
      <c r="B10" s="9"/>
      <c r="C10" s="3"/>
      <c r="D10" s="2"/>
      <c r="E10" s="23"/>
    </row>
    <row r="11" spans="2:5" s="1" customFormat="1" ht="15.75" thickBot="1" x14ac:dyDescent="0.3">
      <c r="B11" s="17">
        <v>5</v>
      </c>
      <c r="C11" s="18" t="s">
        <v>28</v>
      </c>
      <c r="D11" s="19"/>
      <c r="E11" s="24">
        <f>9*9*8*7*6</f>
        <v>27216</v>
      </c>
    </row>
    <row r="12" spans="2:5" s="1" customFormat="1" x14ac:dyDescent="0.25">
      <c r="B12"/>
      <c r="C12" s="3"/>
      <c r="D12" s="2"/>
      <c r="E12" s="20"/>
    </row>
    <row r="13" spans="2:5" s="1" customFormat="1" x14ac:dyDescent="0.25">
      <c r="B13" s="51" t="s">
        <v>4</v>
      </c>
      <c r="C13" s="51"/>
      <c r="D13" s="51"/>
      <c r="E13" s="51"/>
    </row>
  </sheetData>
  <sheetProtection algorithmName="SHA-512" hashValue="3akXZNQrH8m1jvpwqHuzyt62O3KXLXL99wP96mtkhWqlX+vBVz/nTTa1IWdCo6uFU6Wdi/Uqb55OeL/D8oXmGw==" saltValue="MTw9qkbJF+d019lLOMZkGA==" spinCount="100000" sheet="1" objects="1" scenarios="1"/>
  <mergeCells count="1">
    <mergeCell ref="B13:E13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FD0D-556F-4535-A55E-DD287750446F}">
  <dimension ref="B1:H10"/>
  <sheetViews>
    <sheetView workbookViewId="0">
      <selection activeCell="E12" sqref="E12"/>
    </sheetView>
  </sheetViews>
  <sheetFormatPr defaultRowHeight="15" x14ac:dyDescent="0.25"/>
  <cols>
    <col min="2" max="2" width="5.85546875" style="2" bestFit="1" customWidth="1"/>
    <col min="3" max="3" width="18.28515625" style="2" customWidth="1"/>
    <col min="4" max="4" width="27.42578125" style="2" customWidth="1"/>
    <col min="5" max="5" width="26.140625" style="2" customWidth="1"/>
    <col min="6" max="6" width="23.85546875" style="2" bestFit="1" customWidth="1"/>
    <col min="7" max="7" width="15.140625" bestFit="1" customWidth="1"/>
  </cols>
  <sheetData>
    <row r="1" spans="2:8" ht="15.75" thickBot="1" x14ac:dyDescent="0.3"/>
    <row r="2" spans="2:8" x14ac:dyDescent="0.25">
      <c r="B2" s="29"/>
      <c r="C2" s="30" t="s">
        <v>9</v>
      </c>
      <c r="D2" s="30" t="s">
        <v>11</v>
      </c>
      <c r="E2" s="30" t="s">
        <v>12</v>
      </c>
      <c r="F2" s="30" t="s">
        <v>8</v>
      </c>
      <c r="G2" s="31"/>
      <c r="H2" s="32"/>
    </row>
    <row r="3" spans="2:8" x14ac:dyDescent="0.25">
      <c r="B3" s="33" t="s">
        <v>5</v>
      </c>
      <c r="C3" s="28">
        <v>-10</v>
      </c>
      <c r="D3" s="28">
        <v>30</v>
      </c>
      <c r="E3" s="28">
        <v>65</v>
      </c>
      <c r="F3" s="28">
        <v>0</v>
      </c>
      <c r="H3" s="34"/>
    </row>
    <row r="4" spans="2:8" x14ac:dyDescent="0.25">
      <c r="B4" s="33" t="s">
        <v>6</v>
      </c>
      <c r="C4" s="26">
        <f>1/4</f>
        <v>0.25</v>
      </c>
      <c r="D4" s="26">
        <f>1/3</f>
        <v>0.33333333333333331</v>
      </c>
      <c r="E4" s="26">
        <f>1/3</f>
        <v>0.33333333333333331</v>
      </c>
      <c r="F4" s="26">
        <f>1-(C4+D4+E4)</f>
        <v>8.3333333333333481E-2</v>
      </c>
      <c r="G4" s="2" t="s">
        <v>13</v>
      </c>
      <c r="H4" s="35">
        <f>SUM(C4:F4)</f>
        <v>1</v>
      </c>
    </row>
    <row r="5" spans="2:8" x14ac:dyDescent="0.25">
      <c r="B5" s="9"/>
      <c r="E5" s="25" t="s">
        <v>7</v>
      </c>
      <c r="F5" s="27">
        <f>SUMPRODUCT(C3:F3,C4:F4)</f>
        <v>29.166666666666664</v>
      </c>
      <c r="H5" s="34"/>
    </row>
    <row r="6" spans="2:8" x14ac:dyDescent="0.25">
      <c r="B6" s="9"/>
      <c r="H6" s="34"/>
    </row>
    <row r="7" spans="2:8" x14ac:dyDescent="0.25">
      <c r="B7" s="9"/>
      <c r="E7" s="36" t="s">
        <v>10</v>
      </c>
      <c r="F7" s="37" t="s">
        <v>29</v>
      </c>
      <c r="H7" s="34"/>
    </row>
    <row r="8" spans="2:8" ht="15.75" thickBot="1" x14ac:dyDescent="0.3">
      <c r="B8" s="17"/>
      <c r="C8" s="19"/>
      <c r="D8" s="19"/>
      <c r="E8" s="19"/>
      <c r="F8" s="19"/>
      <c r="G8" s="38"/>
      <c r="H8" s="39"/>
    </row>
    <row r="10" spans="2:8" x14ac:dyDescent="0.25">
      <c r="D10" s="51" t="s">
        <v>4</v>
      </c>
      <c r="E10" s="51"/>
      <c r="F10" s="51"/>
    </row>
  </sheetData>
  <sheetProtection algorithmName="SHA-512" hashValue="jyaJdb2Q7BCsluxyz4tSY1xmcXgJ0Kq/HSxsL+oOaepZJOqJ86A/TyNgfXbQhtdcLxjrbCOuRjTetRExTlEQew==" saltValue="LI4s2YGwqpwM3fLVIq4BMA==" spinCount="100000" sheet="1" objects="1" scenarios="1"/>
  <mergeCells count="1">
    <mergeCell ref="D10:F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338B-9D5E-4361-9FD5-B8CD1D20B2B2}">
  <dimension ref="B1:I18"/>
  <sheetViews>
    <sheetView tabSelected="1" zoomScale="118" workbookViewId="0">
      <selection activeCell="G23" sqref="G23"/>
    </sheetView>
  </sheetViews>
  <sheetFormatPr defaultColWidth="9" defaultRowHeight="15" x14ac:dyDescent="0.25"/>
  <cols>
    <col min="1" max="1" width="2.85546875" customWidth="1"/>
    <col min="3" max="3" width="28.5703125" style="3" customWidth="1"/>
    <col min="4" max="4" width="3.42578125" style="2" customWidth="1"/>
    <col min="5" max="5" width="9" style="4" customWidth="1"/>
    <col min="6" max="6" width="3.28515625" customWidth="1"/>
    <col min="7" max="7" width="32.140625" style="44" customWidth="1"/>
    <col min="8" max="8" width="2.42578125" customWidth="1"/>
    <col min="9" max="9" width="13" style="45" customWidth="1"/>
  </cols>
  <sheetData>
    <row r="1" spans="2:9" ht="15.75" thickBot="1" x14ac:dyDescent="0.3"/>
    <row r="2" spans="2:9" ht="14.25" customHeight="1" x14ac:dyDescent="0.25">
      <c r="B2" s="55" t="s">
        <v>14</v>
      </c>
      <c r="C2" s="56"/>
      <c r="D2" s="56"/>
      <c r="E2" s="56"/>
      <c r="F2" s="56"/>
      <c r="G2" s="56"/>
      <c r="H2" s="56"/>
      <c r="I2" s="57"/>
    </row>
    <row r="3" spans="2:9" ht="14.25" customHeight="1" x14ac:dyDescent="0.25">
      <c r="B3" s="46"/>
      <c r="C3" s="58" t="s">
        <v>16</v>
      </c>
      <c r="D3" s="58"/>
      <c r="E3" s="58"/>
      <c r="F3" s="3"/>
      <c r="G3" s="58" t="s">
        <v>17</v>
      </c>
      <c r="H3" s="58"/>
      <c r="I3" s="59"/>
    </row>
    <row r="4" spans="2:9" ht="14.25" customHeight="1" x14ac:dyDescent="0.25">
      <c r="B4" s="12"/>
      <c r="C4" s="3" t="s">
        <v>0</v>
      </c>
      <c r="E4" s="4" t="s">
        <v>1</v>
      </c>
      <c r="G4" s="3" t="s">
        <v>0</v>
      </c>
      <c r="H4" s="2"/>
      <c r="I4" s="47" t="s">
        <v>1</v>
      </c>
    </row>
    <row r="5" spans="2:9" ht="14.25" customHeight="1" x14ac:dyDescent="0.25">
      <c r="B5" s="9">
        <v>1</v>
      </c>
      <c r="C5" s="14" t="s">
        <v>30</v>
      </c>
      <c r="D5" s="15"/>
      <c r="E5" s="40">
        <f>STANDARDIZE(132,100,15)</f>
        <v>2.1333333333333333</v>
      </c>
      <c r="G5" s="14" t="s">
        <v>31</v>
      </c>
      <c r="H5" s="15"/>
      <c r="I5" s="16">
        <f>1-_xlfn.NORM.S.DIST(2.1333,1)</f>
        <v>1.6450062113191888E-2</v>
      </c>
    </row>
    <row r="6" spans="2:9" ht="14.25" customHeight="1" x14ac:dyDescent="0.25">
      <c r="B6" s="9"/>
      <c r="G6" s="3"/>
      <c r="H6" s="2"/>
      <c r="I6" s="47"/>
    </row>
    <row r="7" spans="2:9" s="1" customFormat="1" x14ac:dyDescent="0.25">
      <c r="B7" s="9">
        <v>2</v>
      </c>
      <c r="C7" s="14" t="s">
        <v>32</v>
      </c>
      <c r="D7" s="2"/>
      <c r="E7" s="40">
        <f>STANDARDIZE(50,100,15)</f>
        <v>-3.3333333333333335</v>
      </c>
      <c r="G7" s="14" t="s">
        <v>33</v>
      </c>
      <c r="H7" s="2"/>
      <c r="I7" s="16">
        <f>_xlfn.NORM.S.DIST(-3.3333,1)</f>
        <v>4.2911174535288193E-4</v>
      </c>
    </row>
    <row r="8" spans="2:9" s="1" customFormat="1" x14ac:dyDescent="0.25">
      <c r="B8" s="9"/>
      <c r="C8" s="3"/>
      <c r="D8" s="2"/>
      <c r="E8" s="4"/>
      <c r="G8" s="3"/>
      <c r="H8" s="2"/>
      <c r="I8" s="47"/>
    </row>
    <row r="9" spans="2:9" s="1" customFormat="1" x14ac:dyDescent="0.25">
      <c r="B9" s="9">
        <v>3</v>
      </c>
      <c r="C9" s="14" t="s">
        <v>34</v>
      </c>
      <c r="D9" s="2"/>
      <c r="E9" s="40">
        <f>STANDARDIZE(120,100,15)</f>
        <v>1.3333333333333333</v>
      </c>
      <c r="G9" s="14" t="s">
        <v>35</v>
      </c>
      <c r="H9" s="2"/>
      <c r="I9" s="16">
        <f>_xlfn.NORM.S.DIST(1.3333,1)-_xlfn.NORM.S.DIST(-1.3333,1)</f>
        <v>0.81756662630030652</v>
      </c>
    </row>
    <row r="10" spans="2:9" s="1" customFormat="1" x14ac:dyDescent="0.25">
      <c r="B10" s="9"/>
      <c r="C10" s="3"/>
      <c r="D10" s="2"/>
      <c r="E10" s="4"/>
      <c r="G10" s="3"/>
      <c r="H10" s="2"/>
      <c r="I10" s="47"/>
    </row>
    <row r="11" spans="2:9" s="1" customFormat="1" x14ac:dyDescent="0.25">
      <c r="B11" s="52" t="s">
        <v>15</v>
      </c>
      <c r="C11" s="53"/>
      <c r="D11" s="53"/>
      <c r="E11" s="53"/>
      <c r="F11" s="53"/>
      <c r="G11" s="53"/>
      <c r="H11" s="53"/>
      <c r="I11" s="54"/>
    </row>
    <row r="12" spans="2:9" s="1" customFormat="1" x14ac:dyDescent="0.25">
      <c r="B12" s="46"/>
      <c r="C12" s="58" t="s">
        <v>16</v>
      </c>
      <c r="D12" s="58"/>
      <c r="E12" s="58"/>
      <c r="F12" s="3"/>
      <c r="G12" s="58" t="s">
        <v>18</v>
      </c>
      <c r="H12" s="58"/>
      <c r="I12" s="59"/>
    </row>
    <row r="13" spans="2:9" s="1" customFormat="1" x14ac:dyDescent="0.25">
      <c r="B13" s="9"/>
      <c r="C13" s="3" t="s">
        <v>0</v>
      </c>
      <c r="D13" s="2"/>
      <c r="E13" s="4" t="s">
        <v>1</v>
      </c>
      <c r="F13"/>
      <c r="G13" s="3" t="s">
        <v>0</v>
      </c>
      <c r="H13" s="2"/>
      <c r="I13" s="47" t="s">
        <v>1</v>
      </c>
    </row>
    <row r="14" spans="2:9" s="1" customFormat="1" x14ac:dyDescent="0.25">
      <c r="B14" s="9">
        <v>1</v>
      </c>
      <c r="C14" s="14" t="s">
        <v>36</v>
      </c>
      <c r="D14" s="2"/>
      <c r="E14" s="40">
        <f>_xlfn.NORM.S.INV(0.25)</f>
        <v>-0.67448975019608193</v>
      </c>
      <c r="G14" s="14" t="s">
        <v>37</v>
      </c>
      <c r="H14" s="2"/>
      <c r="I14" s="42">
        <f>_xlfn.NORM.INV(0.25,207,12)</f>
        <v>198.906122997647</v>
      </c>
    </row>
    <row r="15" spans="2:9" s="1" customFormat="1" x14ac:dyDescent="0.25">
      <c r="B15" s="9"/>
      <c r="C15" s="3"/>
      <c r="D15" s="2"/>
      <c r="E15" s="4"/>
      <c r="G15" s="3"/>
      <c r="H15" s="2"/>
      <c r="I15" s="47"/>
    </row>
    <row r="16" spans="2:9" s="1" customFormat="1" ht="15.75" thickBot="1" x14ac:dyDescent="0.3">
      <c r="B16" s="17">
        <v>2</v>
      </c>
      <c r="C16" s="18" t="s">
        <v>38</v>
      </c>
      <c r="D16" s="19"/>
      <c r="E16" s="41">
        <f>_xlfn.NORM.S.INV(0.9)</f>
        <v>1.2815515655446006</v>
      </c>
      <c r="F16" s="48"/>
      <c r="G16" s="18" t="s">
        <v>39</v>
      </c>
      <c r="H16" s="19"/>
      <c r="I16" s="43">
        <f>_xlfn.NORM.INV(0.9,207,12)</f>
        <v>222.37861878653521</v>
      </c>
    </row>
    <row r="17" spans="2:9" s="1" customFormat="1" x14ac:dyDescent="0.25">
      <c r="B17"/>
      <c r="C17" s="3"/>
      <c r="D17" s="2"/>
      <c r="E17" s="4"/>
      <c r="I17" s="49"/>
    </row>
    <row r="18" spans="2:9" s="1" customFormat="1" x14ac:dyDescent="0.25">
      <c r="B18" s="51" t="s">
        <v>4</v>
      </c>
      <c r="C18" s="51"/>
      <c r="D18" s="51"/>
      <c r="E18" s="51"/>
      <c r="F18" s="51"/>
      <c r="G18" s="51"/>
      <c r="H18" s="51"/>
      <c r="I18" s="51"/>
    </row>
  </sheetData>
  <sheetProtection algorithmName="SHA-512" hashValue="8ih6ou9rvtwcoAxlBht+2OIJQ6rcfS2DJeKsjd9DrRpx9WGYAvVHISLoOx/f5N7mQzMj6H6rQgizMUH6dt4beg==" saltValue="YbzRcnGIW6qMmoYunVaIMQ==" spinCount="100000" sheet="1" objects="1" scenarios="1"/>
  <mergeCells count="7">
    <mergeCell ref="B11:I11"/>
    <mergeCell ref="B2:I2"/>
    <mergeCell ref="B18:I18"/>
    <mergeCell ref="C3:E3"/>
    <mergeCell ref="G3:I3"/>
    <mergeCell ref="C12:E12"/>
    <mergeCell ref="G12:I1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1</vt:lpstr>
      <vt:lpstr>Question 2</vt:lpstr>
      <vt:lpstr>Question 3</vt:lpstr>
      <vt:lpstr>Question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Brehm</dc:creator>
  <cp:lastModifiedBy>wade eckert</cp:lastModifiedBy>
  <dcterms:created xsi:type="dcterms:W3CDTF">2023-11-30T18:42:41Z</dcterms:created>
  <dcterms:modified xsi:type="dcterms:W3CDTF">2025-04-10T03:04:31Z</dcterms:modified>
</cp:coreProperties>
</file>