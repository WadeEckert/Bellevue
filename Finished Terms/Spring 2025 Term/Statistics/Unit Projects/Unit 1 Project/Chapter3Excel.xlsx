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admin\OneDrive\Desktop\Spring 2025 Term\Statistics\"/>
    </mc:Choice>
  </mc:AlternateContent>
  <xr:revisionPtr revIDLastSave="0" documentId="13_ncr:1_{3A816BCD-77CE-402E-9924-C92F48DC0012}" xr6:coauthVersionLast="47" xr6:coauthVersionMax="47" xr10:uidLastSave="{00000000-0000-0000-0000-000000000000}"/>
  <bookViews>
    <workbookView xWindow="-120" yWindow="-120" windowWidth="29040" windowHeight="15840" tabRatio="995" xr2:uid="{1F510537-7588-4AC5-8584-B988873659B0}"/>
  </bookViews>
  <sheets>
    <sheet name="Hours Sleep" sheetId="1" r:id="rId1"/>
    <sheet name="MA215" sheetId="2" r:id="rId2"/>
    <sheet name="Student Absences" sheetId="3" r:id="rId3"/>
    <sheet name="Phone Calls" sheetId="4" r:id="rId4"/>
    <sheet name="Retirement" sheetId="5" r:id="rId5"/>
    <sheet name="Weight" sheetId="6" r:id="rId6"/>
    <sheet name="Speeds" sheetId="7" r:id="rId7"/>
    <sheet name="Z-Score" sheetId="9" r:id="rId8"/>
    <sheet name="Calc Test" sheetId="8" r:id="rId9"/>
  </sheets>
  <definedNames>
    <definedName name="_xlchart.v1.0" hidden="1">Speeds!$A$1</definedName>
    <definedName name="_xlchart.v1.1" hidden="1">Speeds!$A$2:$A$35</definedName>
    <definedName name="_xlchart.v1.2" hidden="1">Speeds!$B$1</definedName>
    <definedName name="_xlchart.v1.3" hidden="1">Speeds!$B$2:$B$35</definedName>
    <definedName name="_xlchart.v1.4" hidden="1">Speeds!$A$1</definedName>
    <definedName name="_xlchart.v1.5" hidden="1">Speeds!$A$2:$A$35</definedName>
    <definedName name="_xlchart.v1.6" hidden="1">Speeds!$B$1</definedName>
    <definedName name="_xlchart.v1.7" hidden="1">Speeds!$B$2:$B$35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 i="8" l="1"/>
  <c r="G2" i="8"/>
  <c r="B7" i="9"/>
  <c r="B5" i="9"/>
  <c r="J3" i="7"/>
  <c r="J2" i="7"/>
  <c r="J1" i="7"/>
  <c r="F3" i="7"/>
  <c r="F2" i="7"/>
  <c r="F1" i="7"/>
  <c r="F4" i="6" l="1"/>
  <c r="D4" i="6"/>
  <c r="D2" i="6"/>
  <c r="F2" i="6"/>
  <c r="D5" i="5" a="1"/>
  <c r="D5" i="5" s="1"/>
  <c r="D3" i="5"/>
  <c r="D1" i="5"/>
  <c r="H2" i="4" a="1"/>
  <c r="H2" i="4" s="1"/>
  <c r="F2" i="4" a="1"/>
  <c r="F2" i="4" s="1"/>
  <c r="D2" i="4"/>
  <c r="B2" i="4"/>
  <c r="E2" i="3"/>
  <c r="B2" i="3"/>
  <c r="B8" i="2"/>
  <c r="C6" i="2"/>
  <c r="D1" i="1"/>
  <c r="G2" i="7"/>
  <c r="G1"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<sst xmlns="http://schemas.openxmlformats.org/spreadsheetml/2006/main" count="70" uniqueCount="45">
  <si>
    <t>Sample Mean:</t>
  </si>
  <si>
    <t>Descriptive Statistics:</t>
  </si>
  <si>
    <t>Mode</t>
  </si>
  <si>
    <t>Standard Deviation</t>
  </si>
  <si>
    <t>Scores</t>
  </si>
  <si>
    <t>Weights</t>
  </si>
  <si>
    <t>Tests</t>
  </si>
  <si>
    <t>Homework</t>
  </si>
  <si>
    <t>Quizzes</t>
  </si>
  <si>
    <t>Final Exam</t>
  </si>
  <si>
    <t>Sample 1</t>
  </si>
  <si>
    <t>Sample 2</t>
  </si>
  <si>
    <t>Median:</t>
  </si>
  <si>
    <t>Sample A</t>
  </si>
  <si>
    <t>Sample B</t>
  </si>
  <si>
    <t>Sample C</t>
  </si>
  <si>
    <t>Sample D</t>
  </si>
  <si>
    <t>Mean:</t>
  </si>
  <si>
    <t>Mode:</t>
  </si>
  <si>
    <t>Variance</t>
  </si>
  <si>
    <t>Summary Stats</t>
  </si>
  <si>
    <t>Sample</t>
  </si>
  <si>
    <t>Population</t>
  </si>
  <si>
    <t>(Sample only)</t>
  </si>
  <si>
    <t>Data Set A</t>
  </si>
  <si>
    <t>Data Set B</t>
  </si>
  <si>
    <t>Data Set A:</t>
  </si>
  <si>
    <t>1st Quartile</t>
  </si>
  <si>
    <t>Median</t>
  </si>
  <si>
    <t>3rd Quartile</t>
  </si>
  <si>
    <t>Data Set B:</t>
  </si>
  <si>
    <t>Column1</t>
  </si>
  <si>
    <t>Mean</t>
  </si>
  <si>
    <t>Standard Error</t>
  </si>
  <si>
    <t>Sample Variance</t>
  </si>
  <si>
    <t>Kurtosis</t>
  </si>
  <si>
    <t>Skewness</t>
  </si>
  <si>
    <t>Range</t>
  </si>
  <si>
    <t>Minimum</t>
  </si>
  <si>
    <t>Maximum</t>
  </si>
  <si>
    <t>Sum</t>
  </si>
  <si>
    <t>Count</t>
  </si>
  <si>
    <t>Z-Score</t>
  </si>
  <si>
    <t>Jodi</t>
  </si>
  <si>
    <t>Ashley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</si>
</sst>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sz val="14"/>
      <color theme="1"/>
      <name val="Calibri"/>
      <family val="2"/>
    </font>
    <font>
      <i/>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2" borderId="0" xfId="0" applyFill="1" applyAlignment="1">
      <alignment horizontal="center"/>
    </xf>
    <xf numFmtId="10" fontId="0" fillId="0" borderId="0" xfId="0" applyNumberFormat="1"/>
    <xf numFmtId="0" fontId="1" fillId="0" borderId="0" xfId="0" applyFont="1" applyAlignment="1">
      <alignment horizontal="center"/>
    </xf>
    <xf numFmtId="0" fontId="2" fillId="0" borderId="0" xfId="0" applyFont="1" applyAlignment="1">
      <alignment horizontal="center"/>
    </xf>
    <xf numFmtId="0" fontId="0" fillId="0" borderId="1" xfId="0" applyBorder="1"/>
    <xf numFmtId="0" fontId="3" fillId="0" borderId="2" xfId="0" applyFont="1" applyBorder="1" applyAlignment="1">
      <alignment horizontal="centerContinuous"/>
    </xf>
    <xf numFmtId="0" fontId="0" fillId="0" borderId="0" xfId="0" applyFill="1" applyBorder="1" applyAlignment="1"/>
    <xf numFmtId="0" fontId="0" fillId="0" borderId="1" xfId="0" applyFill="1" applyBorder="1" applyAlignment="1"/>
    <xf numFmtId="0" fontId="3" fillId="0" borderId="2" xfId="0" applyFont="1" applyFill="1" applyBorder="1" applyAlignment="1">
      <alignment horizontal="centerContinuous"/>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plotArea>
      <cx:plotAreaRegion>
        <cx:series layoutId="boxWhisker" uniqueId="{3990C6B1-314E-497A-88FD-8CB435F5461B}">
          <cx:tx>
            <cx:txData>
              <cx:f>_xlchart.v1.0</cx:f>
              <cx:v>Data Set A</cx:v>
            </cx:txData>
          </cx:tx>
          <cx:dataLabels>
            <cx:visibility seriesName="0" categoryName="0" value="1"/>
            <cx:dataLabelHidden idx="37"/>
          </cx:dataLabels>
          <cx:dataId val="0"/>
          <cx:layoutPr>
            <cx:visibility meanLine="0" meanMarker="1" nonoutliers="0" outliers="1"/>
            <cx:statistics quartileMethod="inclusive"/>
          </cx:layoutPr>
        </cx:series>
        <cx:series layoutId="boxWhisker" uniqueId="{FDC3F445-4336-44C6-B057-F43CEAF62E27}">
          <cx:tx>
            <cx:txData>
              <cx:f>_xlchart.v1.2</cx:f>
              <cx:v>Data Set B</cx:v>
            </cx:txData>
          </cx:tx>
          <cx:dataLabels>
            <cx:visibility seriesName="0" categoryName="0" value="1"/>
            <cx:dataLabelHidden idx="37"/>
          </cx:dataLabels>
          <cx:dataId val="1"/>
          <cx:layoutPr>
            <cx:visibility meanLine="0" meanMarker="1" nonoutliers="0" outliers="1"/>
            <cx:statistics quartileMethod="exclusive"/>
          </cx:layoutPr>
        </cx:series>
      </cx:plotAreaRegion>
      <cx:axis id="0" hidden="1">
        <cx:catScaling gapWidth="1"/>
        <cx:tickLabels/>
      </cx:axis>
      <cx:axis id="1">
        <cx:valScaling min="50"/>
        <cx:title/>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ustomXml" Target="../ink/ink6.xml"/><Relationship Id="rId2" Type="http://schemas.openxmlformats.org/officeDocument/2006/relationships/customXml" Target="../ink/ink1.xml"/><Relationship Id="rId16" Type="http://schemas.openxmlformats.org/officeDocument/2006/relationships/customXml" Target="../ink/ink8.xml"/><Relationship Id="rId1" Type="http://schemas.openxmlformats.org/officeDocument/2006/relationships/image" Target="../media/image1.png"/><Relationship Id="rId6" Type="http://schemas.openxmlformats.org/officeDocument/2006/relationships/customXml" Target="../ink/ink3.xml"/><Relationship Id="rId11" Type="http://schemas.openxmlformats.org/officeDocument/2006/relationships/image" Target="../media/image6.png"/><Relationship Id="rId5" Type="http://schemas.openxmlformats.org/officeDocument/2006/relationships/image" Target="../media/image3.png"/><Relationship Id="rId15" Type="http://schemas.openxmlformats.org/officeDocument/2006/relationships/image" Target="../media/image8.png"/><Relationship Id="rId10" Type="http://schemas.openxmlformats.org/officeDocument/2006/relationships/customXml" Target="../ink/ink5.xml"/><Relationship Id="rId19" Type="http://schemas.openxmlformats.org/officeDocument/2006/relationships/image" Target="../media/image10.png"/><Relationship Id="rId4" Type="http://schemas.openxmlformats.org/officeDocument/2006/relationships/customXml" Target="../ink/ink2.xml"/><Relationship Id="rId9" Type="http://schemas.openxmlformats.org/officeDocument/2006/relationships/image" Target="../media/image5.png"/><Relationship Id="rId14" Type="http://schemas.openxmlformats.org/officeDocument/2006/relationships/customXml" Target="../ink/ink7.xml"/></Relationships>
</file>

<file path=xl/drawings/drawing1.xml><?xml version="1.0" encoding="utf-8"?>
<xdr:wsDr xmlns:xdr="http://schemas.openxmlformats.org/drawingml/2006/spreadsheetDrawing" xmlns:a="http://schemas.openxmlformats.org/drawingml/2006/main">
  <xdr:twoCellAnchor>
    <xdr:from>
      <xdr:col>4</xdr:col>
      <xdr:colOff>9525</xdr:colOff>
      <xdr:row>5</xdr:row>
      <xdr:rowOff>14287</xdr:rowOff>
    </xdr:from>
    <xdr:to>
      <xdr:col>10</xdr:col>
      <xdr:colOff>581025</xdr:colOff>
      <xdr:row>19</xdr:row>
      <xdr:rowOff>90487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EE502FB-AA27-5E9D-71A2-A384DA8AD3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43175" y="9667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9</xdr:col>
      <xdr:colOff>350044</xdr:colOff>
      <xdr:row>16</xdr:row>
      <xdr:rowOff>95250</xdr:rowOff>
    </xdr:from>
    <xdr:ext cx="65" cy="172227"/>
    <xdr:sp macro="" textlink="">
      <xdr:nvSpPr>
        <xdr:cNvPr id="2" name="TextBox 1">
          <a:extLst>
            <a:ext uri="{FF2B5EF4-FFF2-40B4-BE49-F238E27FC236}">
              <a16:creationId xmlns:a16="http://schemas.microsoft.com/office/drawing/2014/main" id="{57F02355-B1F4-65F3-86E4-7DA68FF785A4}"/>
            </a:ext>
          </a:extLst>
        </xdr:cNvPr>
        <xdr:cNvSpPr txBox="1"/>
      </xdr:nvSpPr>
      <xdr:spPr>
        <a:xfrm>
          <a:off x="6179344" y="2990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38101</xdr:colOff>
      <xdr:row>0</xdr:row>
      <xdr:rowOff>76200</xdr:rowOff>
    </xdr:from>
    <xdr:to>
      <xdr:col>3</xdr:col>
      <xdr:colOff>552451</xdr:colOff>
      <xdr:row>20</xdr:row>
      <xdr:rowOff>114300</xdr:rowOff>
    </xdr:to>
    <xdr:sp macro="" textlink="">
      <xdr:nvSpPr>
        <xdr:cNvPr id="2" name="TextBox 1">
          <a:extLst>
            <a:ext uri="{FF2B5EF4-FFF2-40B4-BE49-F238E27FC236}">
              <a16:creationId xmlns:a16="http://schemas.microsoft.com/office/drawing/2014/main" id="{7D4D8377-2871-42C4-9D01-C75DBA9FD82C}"/>
            </a:ext>
          </a:extLst>
        </xdr:cNvPr>
        <xdr:cNvSpPr txBox="1"/>
      </xdr:nvSpPr>
      <xdr:spPr>
        <a:xfrm>
          <a:off x="38101" y="76200"/>
          <a:ext cx="2457450" cy="365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Jodi scored an 87 on her calculus test and was bragging to her best friend about how well she had done. She said that her class had a mean of 80 with a standard deviation of 5; therefore, she had done better than the class average. Her best friend, Ashley, was disappointed. She had scored only an 82 on her calculus test. The mean for her class was 73 with a standard deviation of 6.</a:t>
          </a:r>
          <a:endParaRPr lang="en-US" sz="1100">
            <a:effectLst/>
          </a:endParaRPr>
        </a:p>
        <a:p>
          <a:pPr rtl="0" eaLnBrk="1" latinLnBrk="0" hangingPunct="1"/>
          <a:endParaRPr lang="en-US" sz="1100">
            <a:solidFill>
              <a:schemeClr val="dk1"/>
            </a:solidFill>
            <a:effectLst/>
            <a:latin typeface="+mn-lt"/>
            <a:ea typeface="+mn-ea"/>
            <a:cs typeface="+mn-cs"/>
          </a:endParaRPr>
        </a:p>
        <a:p>
          <a:pPr rtl="0" eaLnBrk="1" latinLnBrk="0" hangingPunct="1"/>
          <a:r>
            <a:rPr lang="en-US" sz="1100">
              <a:solidFill>
                <a:schemeClr val="dk1"/>
              </a:solidFill>
              <a:effectLst/>
              <a:latin typeface="+mn-lt"/>
              <a:ea typeface="+mn-ea"/>
              <a:cs typeface="+mn-cs"/>
            </a:rPr>
            <a:t>Jodi:</a:t>
          </a:r>
          <a:r>
            <a:rPr lang="en-US" sz="1100" baseline="0">
              <a:solidFill>
                <a:schemeClr val="dk1"/>
              </a:solidFill>
              <a:effectLst/>
              <a:latin typeface="+mn-lt"/>
              <a:ea typeface="+mn-ea"/>
              <a:cs typeface="+mn-cs"/>
            </a:rPr>
            <a:t> x=87, mean=80, SD=5</a:t>
          </a:r>
        </a:p>
        <a:p>
          <a:pPr rtl="0" eaLnBrk="1" latinLnBrk="0" hangingPunct="1"/>
          <a:r>
            <a:rPr lang="en-US" sz="1100" baseline="0">
              <a:solidFill>
                <a:schemeClr val="dk1"/>
              </a:solidFill>
              <a:effectLst/>
              <a:latin typeface="+mn-lt"/>
              <a:ea typeface="+mn-ea"/>
              <a:cs typeface="+mn-cs"/>
            </a:rPr>
            <a:t>Ashley: x=82, mean=73, SD=6</a:t>
          </a:r>
        </a:p>
        <a:p>
          <a:pPr rtl="0" eaLnBrk="1" latinLnBrk="0" hangingPunct="1"/>
          <a:endParaRPr lang="en-US" sz="1100">
            <a:solidFill>
              <a:schemeClr val="dk1"/>
            </a:solidFill>
            <a:effectLst/>
            <a:latin typeface="+mn-lt"/>
            <a:ea typeface="+mn-ea"/>
            <a:cs typeface="+mn-cs"/>
          </a:endParaRPr>
        </a:p>
        <a:p>
          <a:pPr rtl="0" eaLnBrk="1" latinLnBrk="0" hangingPunct="1"/>
          <a:r>
            <a:rPr lang="en-US" sz="1100">
              <a:solidFill>
                <a:schemeClr val="dk1"/>
              </a:solidFill>
              <a:effectLst/>
              <a:latin typeface="+mn-lt"/>
              <a:ea typeface="+mn-ea"/>
              <a:cs typeface="+mn-cs"/>
            </a:rPr>
            <a:t>Who </a:t>
          </a:r>
          <a:r>
            <a:rPr lang="en-US" sz="1100" i="1">
              <a:solidFill>
                <a:schemeClr val="dk1"/>
              </a:solidFill>
              <a:effectLst/>
              <a:latin typeface="+mn-lt"/>
              <a:ea typeface="+mn-ea"/>
              <a:cs typeface="+mn-cs"/>
            </a:rPr>
            <a:t>really</a:t>
          </a:r>
          <a:r>
            <a:rPr lang="en-US" sz="1100">
              <a:solidFill>
                <a:schemeClr val="dk1"/>
              </a:solidFill>
              <a:effectLst/>
              <a:latin typeface="+mn-lt"/>
              <a:ea typeface="+mn-ea"/>
              <a:cs typeface="+mn-cs"/>
            </a:rPr>
            <a:t> did better on her test, compared to the rest of her class, Jodi or Ashley? </a:t>
          </a:r>
          <a:endParaRPr lang="en-US">
            <a:effectLst/>
          </a:endParaRPr>
        </a:p>
        <a:p>
          <a:endParaRPr lang="en-US" sz="1100"/>
        </a:p>
      </xdr:txBody>
    </xdr:sp>
    <xdr:clientData/>
  </xdr:twoCellAnchor>
  <xdr:twoCellAnchor editAs="oneCell">
    <xdr:from>
      <xdr:col>3</xdr:col>
      <xdr:colOff>627220</xdr:colOff>
      <xdr:row>13</xdr:row>
      <xdr:rowOff>104776</xdr:rowOff>
    </xdr:from>
    <xdr:to>
      <xdr:col>10</xdr:col>
      <xdr:colOff>183173</xdr:colOff>
      <xdr:row>20</xdr:row>
      <xdr:rowOff>133351</xdr:rowOff>
    </xdr:to>
    <xdr:pic>
      <xdr:nvPicPr>
        <xdr:cNvPr id="3" name="Picture 2">
          <a:extLst>
            <a:ext uri="{FF2B5EF4-FFF2-40B4-BE49-F238E27FC236}">
              <a16:creationId xmlns:a16="http://schemas.microsoft.com/office/drawing/2014/main" id="{51CCCA9F-71A6-40E3-9084-A0FCB35D64A4}"/>
            </a:ext>
          </a:extLst>
        </xdr:cNvPr>
        <xdr:cNvPicPr>
          <a:picLocks noChangeAspect="1"/>
        </xdr:cNvPicPr>
      </xdr:nvPicPr>
      <xdr:blipFill rotWithShape="1">
        <a:blip xmlns:r="http://schemas.openxmlformats.org/officeDocument/2006/relationships" r:embed="rId1"/>
        <a:srcRect b="19556"/>
        <a:stretch/>
      </xdr:blipFill>
      <xdr:spPr>
        <a:xfrm>
          <a:off x="2570320" y="2457451"/>
          <a:ext cx="4089853" cy="1295400"/>
        </a:xfrm>
        <a:prstGeom prst="rect">
          <a:avLst/>
        </a:prstGeom>
      </xdr:spPr>
    </xdr:pic>
    <xdr:clientData/>
  </xdr:twoCellAnchor>
  <xdr:twoCellAnchor editAs="oneCell">
    <xdr:from>
      <xdr:col>4</xdr:col>
      <xdr:colOff>47280</xdr:colOff>
      <xdr:row>20</xdr:row>
      <xdr:rowOff>172020</xdr:rowOff>
    </xdr:from>
    <xdr:to>
      <xdr:col>4</xdr:col>
      <xdr:colOff>230880</xdr:colOff>
      <xdr:row>21</xdr:row>
      <xdr:rowOff>122445</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6" name="Ink 5">
              <a:extLst>
                <a:ext uri="{FF2B5EF4-FFF2-40B4-BE49-F238E27FC236}">
                  <a16:creationId xmlns:a16="http://schemas.microsoft.com/office/drawing/2014/main" id="{46A8D9B6-36DA-8BB5-6608-C0F4D99AD040}"/>
                </a:ext>
              </a:extLst>
            </xdr14:cNvPr>
            <xdr14:cNvContentPartPr/>
          </xdr14:nvContentPartPr>
          <xdr14:nvPr macro=""/>
          <xdr14:xfrm>
            <a:off x="2638080" y="3791520"/>
            <a:ext cx="183600" cy="131400"/>
          </xdr14:xfrm>
        </xdr:contentPart>
      </mc:Choice>
      <mc:Fallback xmlns="">
        <xdr:pic>
          <xdr:nvPicPr>
            <xdr:cNvPr id="6" name="Ink 5">
              <a:extLst>
                <a:ext uri="{FF2B5EF4-FFF2-40B4-BE49-F238E27FC236}">
                  <a16:creationId xmlns:a16="http://schemas.microsoft.com/office/drawing/2014/main" id="{46A8D9B6-36DA-8BB5-6608-C0F4D99AD040}"/>
                </a:ext>
              </a:extLst>
            </xdr:cNvPr>
            <xdr:cNvPicPr/>
          </xdr:nvPicPr>
          <xdr:blipFill>
            <a:blip xmlns:r="http://schemas.openxmlformats.org/officeDocument/2006/relationships" r:embed="rId3"/>
            <a:stretch>
              <a:fillRect/>
            </a:stretch>
          </xdr:blipFill>
          <xdr:spPr>
            <a:xfrm>
              <a:off x="2629440" y="3782520"/>
              <a:ext cx="201240" cy="149040"/>
            </a:xfrm>
            <a:prstGeom prst="rect">
              <a:avLst/>
            </a:prstGeom>
          </xdr:spPr>
        </xdr:pic>
      </mc:Fallback>
    </mc:AlternateContent>
    <xdr:clientData/>
  </xdr:twoCellAnchor>
  <xdr:twoCellAnchor editAs="oneCell">
    <xdr:from>
      <xdr:col>4</xdr:col>
      <xdr:colOff>638760</xdr:colOff>
      <xdr:row>21</xdr:row>
      <xdr:rowOff>7245</xdr:rowOff>
    </xdr:from>
    <xdr:to>
      <xdr:col>5</xdr:col>
      <xdr:colOff>205260</xdr:colOff>
      <xdr:row>21</xdr:row>
      <xdr:rowOff>130365</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 name="Ink 8">
              <a:extLst>
                <a:ext uri="{FF2B5EF4-FFF2-40B4-BE49-F238E27FC236}">
                  <a16:creationId xmlns:a16="http://schemas.microsoft.com/office/drawing/2014/main" id="{BEB8950A-7479-2C97-E674-0178D941C700}"/>
                </a:ext>
              </a:extLst>
            </xdr14:cNvPr>
            <xdr14:cNvContentPartPr/>
          </xdr14:nvContentPartPr>
          <xdr14:nvPr macro=""/>
          <xdr14:xfrm>
            <a:off x="3229560" y="3807720"/>
            <a:ext cx="214200" cy="123120"/>
          </xdr14:xfrm>
        </xdr:contentPart>
      </mc:Choice>
      <mc:Fallback xmlns="">
        <xdr:pic>
          <xdr:nvPicPr>
            <xdr:cNvPr id="9" name="Ink 8">
              <a:extLst>
                <a:ext uri="{FF2B5EF4-FFF2-40B4-BE49-F238E27FC236}">
                  <a16:creationId xmlns:a16="http://schemas.microsoft.com/office/drawing/2014/main" id="{BEB8950A-7479-2C97-E674-0178D941C700}"/>
                </a:ext>
              </a:extLst>
            </xdr:cNvPr>
            <xdr:cNvPicPr/>
          </xdr:nvPicPr>
          <xdr:blipFill>
            <a:blip xmlns:r="http://schemas.openxmlformats.org/officeDocument/2006/relationships" r:embed="rId5"/>
            <a:stretch>
              <a:fillRect/>
            </a:stretch>
          </xdr:blipFill>
          <xdr:spPr>
            <a:xfrm>
              <a:off x="3220920" y="3799080"/>
              <a:ext cx="231840" cy="140760"/>
            </a:xfrm>
            <a:prstGeom prst="rect">
              <a:avLst/>
            </a:prstGeom>
          </xdr:spPr>
        </xdr:pic>
      </mc:Fallback>
    </mc:AlternateContent>
    <xdr:clientData/>
  </xdr:twoCellAnchor>
  <xdr:twoCellAnchor editAs="oneCell">
    <xdr:from>
      <xdr:col>5</xdr:col>
      <xdr:colOff>596940</xdr:colOff>
      <xdr:row>21</xdr:row>
      <xdr:rowOff>12285</xdr:rowOff>
    </xdr:from>
    <xdr:to>
      <xdr:col>6</xdr:col>
      <xdr:colOff>96840</xdr:colOff>
      <xdr:row>21</xdr:row>
      <xdr:rowOff>130005</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2" name="Ink 11">
              <a:extLst>
                <a:ext uri="{FF2B5EF4-FFF2-40B4-BE49-F238E27FC236}">
                  <a16:creationId xmlns:a16="http://schemas.microsoft.com/office/drawing/2014/main" id="{5428DCAD-A13A-5C38-E52D-8F6DE164E03A}"/>
                </a:ext>
              </a:extLst>
            </xdr14:cNvPr>
            <xdr14:cNvContentPartPr/>
          </xdr14:nvContentPartPr>
          <xdr14:nvPr macro=""/>
          <xdr14:xfrm>
            <a:off x="3835440" y="3812760"/>
            <a:ext cx="147600" cy="117720"/>
          </xdr14:xfrm>
        </xdr:contentPart>
      </mc:Choice>
      <mc:Fallback xmlns="">
        <xdr:pic>
          <xdr:nvPicPr>
            <xdr:cNvPr id="12" name="Ink 11">
              <a:extLst>
                <a:ext uri="{FF2B5EF4-FFF2-40B4-BE49-F238E27FC236}">
                  <a16:creationId xmlns:a16="http://schemas.microsoft.com/office/drawing/2014/main" id="{5428DCAD-A13A-5C38-E52D-8F6DE164E03A}"/>
                </a:ext>
              </a:extLst>
            </xdr:cNvPr>
            <xdr:cNvPicPr/>
          </xdr:nvPicPr>
          <xdr:blipFill>
            <a:blip xmlns:r="http://schemas.openxmlformats.org/officeDocument/2006/relationships" r:embed="rId7"/>
            <a:stretch>
              <a:fillRect/>
            </a:stretch>
          </xdr:blipFill>
          <xdr:spPr>
            <a:xfrm>
              <a:off x="3826462" y="3804120"/>
              <a:ext cx="165197" cy="135360"/>
            </a:xfrm>
            <a:prstGeom prst="rect">
              <a:avLst/>
            </a:prstGeom>
          </xdr:spPr>
        </xdr:pic>
      </mc:Fallback>
    </mc:AlternateContent>
    <xdr:clientData/>
  </xdr:twoCellAnchor>
  <xdr:twoCellAnchor editAs="oneCell">
    <xdr:from>
      <xdr:col>6</xdr:col>
      <xdr:colOff>632160</xdr:colOff>
      <xdr:row>21</xdr:row>
      <xdr:rowOff>36765</xdr:rowOff>
    </xdr:from>
    <xdr:to>
      <xdr:col>7</xdr:col>
      <xdr:colOff>65460</xdr:colOff>
      <xdr:row>21</xdr:row>
      <xdr:rowOff>150165</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3" name="Ink 12">
              <a:extLst>
                <a:ext uri="{FF2B5EF4-FFF2-40B4-BE49-F238E27FC236}">
                  <a16:creationId xmlns:a16="http://schemas.microsoft.com/office/drawing/2014/main" id="{3EC66408-F7C7-B90F-9253-C34D9E6B1C31}"/>
                </a:ext>
              </a:extLst>
            </xdr14:cNvPr>
            <xdr14:cNvContentPartPr/>
          </xdr14:nvContentPartPr>
          <xdr14:nvPr macro=""/>
          <xdr14:xfrm>
            <a:off x="4518360" y="3837240"/>
            <a:ext cx="81000" cy="113400"/>
          </xdr14:xfrm>
        </xdr:contentPart>
      </mc:Choice>
      <mc:Fallback xmlns="">
        <xdr:pic>
          <xdr:nvPicPr>
            <xdr:cNvPr id="13" name="Ink 12">
              <a:extLst>
                <a:ext uri="{FF2B5EF4-FFF2-40B4-BE49-F238E27FC236}">
                  <a16:creationId xmlns:a16="http://schemas.microsoft.com/office/drawing/2014/main" id="{3EC66408-F7C7-B90F-9253-C34D9E6B1C31}"/>
                </a:ext>
              </a:extLst>
            </xdr:cNvPr>
            <xdr:cNvPicPr/>
          </xdr:nvPicPr>
          <xdr:blipFill>
            <a:blip xmlns:r="http://schemas.openxmlformats.org/officeDocument/2006/relationships" r:embed="rId9"/>
            <a:stretch>
              <a:fillRect/>
            </a:stretch>
          </xdr:blipFill>
          <xdr:spPr>
            <a:xfrm>
              <a:off x="4509360" y="3828240"/>
              <a:ext cx="98640" cy="131040"/>
            </a:xfrm>
            <a:prstGeom prst="rect">
              <a:avLst/>
            </a:prstGeom>
          </xdr:spPr>
        </xdr:pic>
      </mc:Fallback>
    </mc:AlternateContent>
    <xdr:clientData/>
  </xdr:twoCellAnchor>
  <xdr:twoCellAnchor editAs="oneCell">
    <xdr:from>
      <xdr:col>8</xdr:col>
      <xdr:colOff>11040</xdr:colOff>
      <xdr:row>21</xdr:row>
      <xdr:rowOff>10485</xdr:rowOff>
    </xdr:from>
    <xdr:to>
      <xdr:col>8</xdr:col>
      <xdr:colOff>30840</xdr:colOff>
      <xdr:row>21</xdr:row>
      <xdr:rowOff>103725</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0BE3C4ED-7F21-8DAD-254F-C45FB6EC1ABC}"/>
                </a:ext>
              </a:extLst>
            </xdr14:cNvPr>
            <xdr14:cNvContentPartPr/>
          </xdr14:nvContentPartPr>
          <xdr14:nvPr macro=""/>
          <xdr14:xfrm>
            <a:off x="5192640" y="3810960"/>
            <a:ext cx="19800" cy="93240"/>
          </xdr14:xfrm>
        </xdr:contentPart>
      </mc:Choice>
      <mc:Fallback xmlns="">
        <xdr:pic>
          <xdr:nvPicPr>
            <xdr:cNvPr id="14" name="Ink 13">
              <a:extLst>
                <a:ext uri="{FF2B5EF4-FFF2-40B4-BE49-F238E27FC236}">
                  <a16:creationId xmlns:a16="http://schemas.microsoft.com/office/drawing/2014/main" id="{0BE3C4ED-7F21-8DAD-254F-C45FB6EC1ABC}"/>
                </a:ext>
              </a:extLst>
            </xdr:cNvPr>
            <xdr:cNvPicPr/>
          </xdr:nvPicPr>
          <xdr:blipFill>
            <a:blip xmlns:r="http://schemas.openxmlformats.org/officeDocument/2006/relationships" r:embed="rId11"/>
            <a:stretch>
              <a:fillRect/>
            </a:stretch>
          </xdr:blipFill>
          <xdr:spPr>
            <a:xfrm>
              <a:off x="5184000" y="3802320"/>
              <a:ext cx="37440" cy="110880"/>
            </a:xfrm>
            <a:prstGeom prst="rect">
              <a:avLst/>
            </a:prstGeom>
          </xdr:spPr>
        </xdr:pic>
      </mc:Fallback>
    </mc:AlternateContent>
    <xdr:clientData/>
  </xdr:twoCellAnchor>
  <xdr:twoCellAnchor editAs="oneCell">
    <xdr:from>
      <xdr:col>8</xdr:col>
      <xdr:colOff>570480</xdr:colOff>
      <xdr:row>20</xdr:row>
      <xdr:rowOff>167700</xdr:rowOff>
    </xdr:from>
    <xdr:to>
      <xdr:col>9</xdr:col>
      <xdr:colOff>23940</xdr:colOff>
      <xdr:row>21</xdr:row>
      <xdr:rowOff>127845</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5" name="Ink 14">
              <a:extLst>
                <a:ext uri="{FF2B5EF4-FFF2-40B4-BE49-F238E27FC236}">
                  <a16:creationId xmlns:a16="http://schemas.microsoft.com/office/drawing/2014/main" id="{46C0FEB3-5F1A-8573-82AF-91F2A6F07F54}"/>
                </a:ext>
              </a:extLst>
            </xdr14:cNvPr>
            <xdr14:cNvContentPartPr/>
          </xdr14:nvContentPartPr>
          <xdr14:nvPr macro=""/>
          <xdr14:xfrm>
            <a:off x="5752080" y="3787200"/>
            <a:ext cx="101160" cy="141120"/>
          </xdr14:xfrm>
        </xdr:contentPart>
      </mc:Choice>
      <mc:Fallback xmlns="">
        <xdr:pic>
          <xdr:nvPicPr>
            <xdr:cNvPr id="15" name="Ink 14">
              <a:extLst>
                <a:ext uri="{FF2B5EF4-FFF2-40B4-BE49-F238E27FC236}">
                  <a16:creationId xmlns:a16="http://schemas.microsoft.com/office/drawing/2014/main" id="{46C0FEB3-5F1A-8573-82AF-91F2A6F07F54}"/>
                </a:ext>
              </a:extLst>
            </xdr:cNvPr>
            <xdr:cNvPicPr/>
          </xdr:nvPicPr>
          <xdr:blipFill>
            <a:blip xmlns:r="http://schemas.openxmlformats.org/officeDocument/2006/relationships" r:embed="rId13"/>
            <a:stretch>
              <a:fillRect/>
            </a:stretch>
          </xdr:blipFill>
          <xdr:spPr>
            <a:xfrm>
              <a:off x="5743080" y="3778560"/>
              <a:ext cx="118800" cy="158760"/>
            </a:xfrm>
            <a:prstGeom prst="rect">
              <a:avLst/>
            </a:prstGeom>
          </xdr:spPr>
        </xdr:pic>
      </mc:Fallback>
    </mc:AlternateContent>
    <xdr:clientData/>
  </xdr:twoCellAnchor>
  <xdr:twoCellAnchor editAs="oneCell">
    <xdr:from>
      <xdr:col>9</xdr:col>
      <xdr:colOff>491580</xdr:colOff>
      <xdr:row>20</xdr:row>
      <xdr:rowOff>142140</xdr:rowOff>
    </xdr:from>
    <xdr:to>
      <xdr:col>9</xdr:col>
      <xdr:colOff>594540</xdr:colOff>
      <xdr:row>21</xdr:row>
      <xdr:rowOff>120645</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6" name="Ink 15">
              <a:extLst>
                <a:ext uri="{FF2B5EF4-FFF2-40B4-BE49-F238E27FC236}">
                  <a16:creationId xmlns:a16="http://schemas.microsoft.com/office/drawing/2014/main" id="{64B3BBAE-D334-50CE-CB1F-2AC79502B1CF}"/>
                </a:ext>
              </a:extLst>
            </xdr14:cNvPr>
            <xdr14:cNvContentPartPr/>
          </xdr14:nvContentPartPr>
          <xdr14:nvPr macro=""/>
          <xdr14:xfrm>
            <a:off x="6320880" y="3761640"/>
            <a:ext cx="102960" cy="159480"/>
          </xdr14:xfrm>
        </xdr:contentPart>
      </mc:Choice>
      <mc:Fallback xmlns="">
        <xdr:pic>
          <xdr:nvPicPr>
            <xdr:cNvPr id="16" name="Ink 15">
              <a:extLst>
                <a:ext uri="{FF2B5EF4-FFF2-40B4-BE49-F238E27FC236}">
                  <a16:creationId xmlns:a16="http://schemas.microsoft.com/office/drawing/2014/main" id="{64B3BBAE-D334-50CE-CB1F-2AC79502B1CF}"/>
                </a:ext>
              </a:extLst>
            </xdr:cNvPr>
            <xdr:cNvPicPr/>
          </xdr:nvPicPr>
          <xdr:blipFill>
            <a:blip xmlns:r="http://schemas.openxmlformats.org/officeDocument/2006/relationships" r:embed="rId15"/>
            <a:stretch>
              <a:fillRect/>
            </a:stretch>
          </xdr:blipFill>
          <xdr:spPr>
            <a:xfrm>
              <a:off x="6312240" y="3753000"/>
              <a:ext cx="120600" cy="177120"/>
            </a:xfrm>
            <a:prstGeom prst="rect">
              <a:avLst/>
            </a:prstGeom>
          </xdr:spPr>
        </xdr:pic>
      </mc:Fallback>
    </mc:AlternateContent>
    <xdr:clientData/>
  </xdr:twoCellAnchor>
  <xdr:twoCellAnchor editAs="oneCell">
    <xdr:from>
      <xdr:col>8</xdr:col>
      <xdr:colOff>203280</xdr:colOff>
      <xdr:row>17</xdr:row>
      <xdr:rowOff>152265</xdr:rowOff>
    </xdr:from>
    <xdr:to>
      <xdr:col>8</xdr:col>
      <xdr:colOff>235320</xdr:colOff>
      <xdr:row>20</xdr:row>
      <xdr:rowOff>57900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8" name="Ink 17">
              <a:extLst>
                <a:ext uri="{FF2B5EF4-FFF2-40B4-BE49-F238E27FC236}">
                  <a16:creationId xmlns:a16="http://schemas.microsoft.com/office/drawing/2014/main" id="{8C9345DE-1ED4-30A7-110B-FEB83B8CFCD8}"/>
                </a:ext>
              </a:extLst>
            </xdr14:cNvPr>
            <xdr14:cNvContentPartPr/>
          </xdr14:nvContentPartPr>
          <xdr14:nvPr macro=""/>
          <xdr14:xfrm>
            <a:off x="5384880" y="3228840"/>
            <a:ext cx="32040" cy="448560"/>
          </xdr14:xfrm>
        </xdr:contentPart>
      </mc:Choice>
      <mc:Fallback xmlns="">
        <xdr:pic>
          <xdr:nvPicPr>
            <xdr:cNvPr id="18" name="Ink 17">
              <a:extLst>
                <a:ext uri="{FF2B5EF4-FFF2-40B4-BE49-F238E27FC236}">
                  <a16:creationId xmlns:a16="http://schemas.microsoft.com/office/drawing/2014/main" id="{8C9345DE-1ED4-30A7-110B-FEB83B8CFCD8}"/>
                </a:ext>
              </a:extLst>
            </xdr:cNvPr>
            <xdr:cNvPicPr/>
          </xdr:nvPicPr>
          <xdr:blipFill>
            <a:blip xmlns:r="http://schemas.openxmlformats.org/officeDocument/2006/relationships" r:embed="rId19"/>
            <a:stretch>
              <a:fillRect/>
            </a:stretch>
          </xdr:blipFill>
          <xdr:spPr>
            <a:xfrm>
              <a:off x="5376240" y="3220200"/>
              <a:ext cx="49680" cy="466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0-27T19:41:06.533"/>
    </inkml:context>
    <inkml:brush xml:id="br0">
      <inkml:brushProperty name="width" value="0.05" units="cm"/>
      <inkml:brushProperty name="height" value="0.05" units="cm"/>
    </inkml:brush>
  </inkml:definitions>
  <inkml:trace contextRef="#ctx0" brushRef="#br0">13 127 1839 0 0,'-12'19'9864'0'0,"40"-18"-3769"0"0,14-4-5968 0 0,-32 2 255 0 0,-2-2-312 0 0,23-12-74 0 0,-24 11-88 0 0,1 1-4866 0 0,24-8 3096 0 0,-24 8-2480 0 0</inkml:trace>
  <inkml:trace contextRef="#ctx0" brushRef="#br0" timeOffset="884.83">268 13 2759 0 0,'0'0'8566'0'0,"8"-3"-8240"0"0,26-5-35 0 0,-26 6 1310 0 0,-2 2-1588 0 0,0 0 1 0 0,0 1-1 0 0,0 0 0 0 0,8 2 0 0 0,-2-1-4 0 0,-2-1 428 0 0,-5 6-373 0 0,16 18 0 0 0,-20-25-61 0 0,-1 1 1 0 0,1-1-1 0 0,-1 1 0 0 0,1-1 0 0 0,-1 1 0 0 0,1-1 0 0 0,-1 1 0 0 0,0-1 1 0 0,1 1-1 0 0,-1 0 0 0 0,0-1 0 0 0,1 1 0 0 0,-1-1 0 0 0,0 1 0 0 0,0 0 0 0 0,0 1 1 0 0,3 18 6 0 0,-2 2-29 0 0,-3-17-36 0 0,0 0-17 0 0,1-4 42 0 0,1 3-75 0 0,-1 0 0 0 0,-1 1 0 0 0,1-1 0 0 0,-1 0 0 0 0,1 0 0 0 0,-1 0 0 0 0,-4 5 0 0 0,5-8-159 0 0,7 0 3143 0 0,28-5-2798 0 0,-33 4-79 0 0,-1 0 1 0 0,1 0-1 0 0,-1 0 0 0 0,1-1 0 0 0,-1 1 0 0 0,1 0 0 0 0,-1 0 0 0 0,1 0 1 0 0,-1 0-1 0 0,1 0 0 0 0,-1 0 0 0 0,1 0 0 0 0,-1 1 0 0 0,1-1 1 0 0,-1 0-1 0 0,0 0 0 0 0,1 0 0 0 0,-1 0 0 0 0,1 1 0 0 0,-1-1 0 0 0,1 0 1 0 0,-1 0-1 0 0,1 1 0 0 0,-1-1 0 0 0,0 0 0 0 0,1 1 0 0 0,-1-1 0 0 0,0 1 1 0 0,1-1-1 0 0,-1 1 0 0 0,26 28 11 0 0,-20-21-8 0 0,-4-5-1 0 0,0 0 1 0 0,-1 0 0 0 0,1 0 0 0 0,0 0 0 0 0,-1 0 0 0 0,1 0 0 0 0,-1 0 0 0 0,0 1 0 0 0,1 3 0 0 0,0 0 4 0 0,5 19 66 0 0,-3-6 3 0 0,-4-17-69 0 0,1-1 0 0 0,-1 0 0 0 0,1 0 0 0 0,-1 1 0 0 0,0-1 0 0 0,0 0 0 0 0,0 0 0 0 0,0 3 0 0 0,-2 8 57 0 0,2-8 76 0 0,0 0 0 0 0,-1-1 0 0 0,0 1-1 0 0,0 0 1 0 0,-3 8 0 0 0,3-11-96 0 0,0-1 0 0 0,1 0-1 0 0,-1 1 1 0 0,0-1 0 0 0,0 0-1 0 0,0 1 1 0 0,0-1 0 0 0,-1 0-1 0 0,1 0 1 0 0,0 0 0 0 0,0 0 0 0 0,-1 0-1 0 0,1-1 1 0 0,0 1 0 0 0,-1 0-1 0 0,1 0 1 0 0,-1-1 0 0 0,1 1-1 0 0,-1-1 1 0 0,1 0 0 0 0,-1 1-1 0 0,1-1 1 0 0,-3 0 0 0 0,0 0-55 0 0,1 0-1 0 0,-1 0 1 0 0,0-1-1 0 0,0 1 1 0 0,0-1 0 0 0,0 0-1 0 0,1 0 1 0 0,-1 0-1 0 0,0-1 1 0 0,-6-3 0 0 0,-35-23 101 0 0,33 20-254 0 0,10 6-96 0 0,0 0 0 0 0,0 1 0 0 0,0-1 0 0 0,0 0 0 0 0,0-1 0 0 0,0 1 0 0 0,1 0 0 0 0,-1 0 0 0 0,1-1 0 0 0,-1 1 0 0 0,1-1 0 0 0,0 1 0 0 0,0-1 0 0 0,0 0 0 0 0,1 1 0 0 0,-1-1 0 0 0,0 0 0 0 0,1 1 0 0 0,0-1 0 0 0,0 0 0 0 0,0-4 0 0 0,1-3-4388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0-27T19:41:08.238"/>
    </inkml:context>
    <inkml:brush xml:id="br0">
      <inkml:brushProperty name="width" value="0.05" units="cm"/>
      <inkml:brushProperty name="height" value="0.05" units="cm"/>
    </inkml:brush>
  </inkml:definitions>
  <inkml:trace contextRef="#ctx0" brushRef="#br0">1 189 2303 0 0,'3'2'11272'0'0,"25"16"-10880"0"0,-20-13 1239 0 0,-3-5-1564 0 0,1 0 0 0 0,0 1 0 0 0,-1-1 0 0 0,10 3 0 0 0,-4 0-1 0 0,-1-2 732 0 0,-1-1-724 0 0,28-1-74 0 0,-27 1-76 0 0</inkml:trace>
  <inkml:trace contextRef="#ctx0" brushRef="#br0" timeOffset="755.56">241 69 2303 0 0,'0'0'2928'0'0,"7"-19"342"0"0,-6 16-2793 0 0,0 1-1 0 0,0-1 1 0 0,-1 0 0 0 0,1 1 0 0 0,1-1 0 0 0,-1 1 0 0 0,3-5 0 0 0,-1 2 1896 0 0,3 2-2315 0 0,17-10-34 0 0,-17 10 524 0 0,2 7-481 0 0,4 2-60 0 0,17 13-1 0 0,-23-14-6 0 0,1 0 0 0 0,-1 1 0 0 0,-1 0 0 0 0,8 9 0 0 0,7 17-10 0 0,-16-26-46 0 0,-1 1-26 0 0,8 21-14 0 0,-9-21 14 0 0,-1-1 8 0 0,2 16-8 0 0,-2-17-46 0 0,-1 1-22 0 0,1-3 138 0 0,0 7-111 0 0,0 0 0 0 0,-1 0 0 0 0,0 0 1 0 0,0 0-1 0 0,-1 0 0 0 0,0 0 1 0 0,-1 1-1 0 0,0-2 0 0 0,-5 16 0 0 0,6-23 140 0 0,0 1 0 0 0,0 0 0 0 0,0 0 0 0 0,-1-1 0 0 0,1 1 0 0 0,-1 0 0 0 0,1-1-1 0 0,-1 0 1 0 0,0 1 0 0 0,0-1 0 0 0,0 0 0 0 0,0 0 0 0 0,-2 3 4174 0 0,16-8-3246 0 0,4-1-1101 0 0,-9 2 1108 0 0,3 1-744 0 0,30-3-69 0 0,-30 3 58 0 0,-1 2-106 0 0,36 1-32 0 0,-2-3-101 0 0,-34 1-227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0-27T19:41:09.752"/>
    </inkml:context>
    <inkml:brush xml:id="br0">
      <inkml:brushProperty name="width" value="0.05" units="cm"/>
      <inkml:brushProperty name="height" value="0.05" units="cm"/>
    </inkml:brush>
  </inkml:definitions>
  <inkml:trace contextRef="#ctx0" brushRef="#br0">4 159 2303 0 0,'-4'-12'10992'0'0,"35"25"-10624"0"0,-23-9 1360 0 0,33-10-145 0 0,-36 3-1462 0 0,4-1-42 0 0,-7 3 51 0 0,2-1 0 0 0,-1 1 1 0 0,0-1-1 0 0,-1 0 1 0 0,1 0-1 0 0,0 0 0 0 0,5-5 999 0 0,-5 4-1355 0 0,1-2-224 0 0,5-2 316 0 0,0 2-7089 0 0</inkml:trace>
  <inkml:trace contextRef="#ctx0" brushRef="#br0" timeOffset="522.3">250 1 1839 0 0,'3'4'8208'0'0,"1"6"-7971"0"0,-3-7-74 0 0,1 1 0 0 0,-1-1 0 0 0,1 1 0 0 0,-1-1 0 0 0,0 1 0 0 0,0 0-1 0 0,1 8 1216 0 0,-2-10-1351 0 0,0-1 1 0 0,0 0-1 0 0,0 0 1 0 0,0 0-1 0 0,0 0 1 0 0,1 1-1 0 0,-1-1 1 0 0,0 0-1 0 0,0 0 1 0 0,0 0-1 0 0,1 0 1 0 0,-1 0-1 0 0,1 0 1 0 0,0 2-1 0 0,-1-2 15 0 0,1 0 0 0 0,0 0 0 0 0,-1 0 0 0 0,1 0 0 0 0,-1 0 0 0 0,0 0 0 0 0,0 1 0 0 0,0-1 0 0 0,1 0 0 0 0,-1 0 0 0 0,0 0-1 0 0,0 0 1 0 0,0 1 0 0 0,0 1 0 0 0,0-1-9 0 0,0 0 0 0 0,1 0 0 0 0,-1 1-1 0 0,0-1 1 0 0,1 0 0 0 0,-1 0-1 0 0,0 0 1 0 0,2 3 0 0 0,-1 1 20 0 0,1-1 107 0 0,-2 1 2 0 0,9 77 718 0 0,-4-21 502 0 0,-5-51-1144 0 0,0-10 292 0 0,0 4-363 0 0,2 30 520 0 0,-2-35-715 0 0,0 1 1 0 0,0-1-1 0 0,0 0 1 0 0,0 0 0 0 0,0 0-1 0 0,0 0 1 0 0,0 0-1 0 0,1 0 1 0 0,-1 0 0 0 0,0 0-1 0 0,0 0 1 0 0,0 0 0 0 0,0 0-1 0 0,0 0 1 0 0,0 0-1 0 0,0 0 1 0 0,1 0 0 0 0,-1 0-1 0 0,0 0 1 0 0,0 0 0 0 0,0 0-1 0 0,0 0 1 0 0,0 0-1 0 0,0 0 1 0 0,0 0 0 0 0,0 0-1 0 0,0 0 1 0 0,0 0-1 0 0,0 0 1 0 0,0 0 0 0 0,0 0-1 0 0,0 0 1 0 0,0 0 0 0 0,0-1-1 0 0,0 1 1 0 0,0 0-1 0 0,1 0 1 0 0,-1 0 0 0 0,0 0-1 0 0,0 0 1 0 0,0 0 0 0 0,0 0-1 0 0,0 0 1 0 0,0 0-1 0 0,0 0 1 0 0,0-1 0 0 0,0 1-1 0 0,0 0 1 0 0,0 0-1 0 0,0 0 1 0 0,0 0 0 0 0,0 0-1 0 0,0 0 1 0 0,0 0 0 0 0,0-1-1 0 0,0 1 1 0 0,0 0-1 0 0,0 0-11 0 0,2-3-971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0-27T19:41:11.341"/>
    </inkml:context>
    <inkml:brush xml:id="br0">
      <inkml:brushProperty name="width" value="0.05" units="cm"/>
      <inkml:brushProperty name="height" value="0.05" units="cm"/>
    </inkml:brush>
  </inkml:definitions>
  <inkml:trace contextRef="#ctx0" brushRef="#br0">41 18 4495 0 0,'-4'-16'5891'0'0,"4"16"-5787"0"0,-1 0 0 0 0,1-1 0 0 0,-1 1 0 0 0,1 0 0 0 0,0 0 0 0 0,-1 0 0 0 0,0 0 0 0 0,1-1 0 0 0,-1 1 0 0 0,1 0 0 0 0,0 0 0 0 0,-1 0 0 0 0,0 0 0 0 0,0 1-1 0 0,1-1 1 0 0,-1 0 0 0 0,1 0 0 0 0,0 0 0 0 0,-1 1 0 0 0,1-1 0 0 0,-1 0 0 0 0,0 0 0 0 0,1 1 0 0 0,0-1 0 0 0,0 1 0 0 0,-1-1 0 0 0,1 0 0 0 0,-1 1 0 0 0,1-1 0 0 0,-1 1 0 0 0,1-1 0 0 0,0 1 0 0 0,-1 1 0 0 0,-8 22 521 0 0,7-17-388 0 0,1-6-147 0 0,1 3-12 0 0,-6 34-55 0 0,4-17-94 0 0,2-2 2 0 0,-1-2-24 0 0,3 5 30 0 0,1 3 15 0 0,-3-21 54 0 0,0 0 0 0 0,0 0 1 0 0,1-1-1 0 0,0 1 0 0 0,0 0 0 0 0,2 5 1 0 0,-1-1 1 0 0,3 6 35 0 0,11 15-22 0 0,-13-21 167 0 0,5-4-59 0 0,19 15-1 0 0,-20-14 344 0 0,0-4-364 0 0,22 5-17 0 0,-23-5 182 0 0,1-3-219 0 0,16-6-44 0 0,-22 8-6 0 0,0 0 0 0 0,1-1-1 0 0,-2 0 1 0 0,1 1-1 0 0,1-1 1 0 0,-2 0 0 0 0,1 1-1 0 0,1-1 1 0 0,-2 0 0 0 0,1 0-1 0 0,0 0 1 0 0,0 0 0 0 0,0 0-1 0 0,-1 0 1 0 0,1 0 0 0 0,0-1-1 0 0,0 1 1 0 0,-1 0-1 0 0,1-1 1 0 0,-1 1 0 0 0,1 0-1 0 0,0-1 1 0 0,-1 1 0 0 0,0-1-1 0 0,0 1 1 0 0,0-1 0 0 0,1 1-1 0 0,-1-1 1 0 0,0 1-1 0 0,0-3 1 0 0,-1-2 59 0 0,1 1 0 0 0,0-1-1 0 0,-1 1 1 0 0,-1 0 0 0 0,2 0 0 0 0,-3-6-1 0 0,-10-23 2 0 0,0 0 0 0 0,-1 2-1 0 0,-26-45 1 0 0,40 75-162 0 0,-2 0-60 0 0,1-1 1 0 0,0 1 0 0 0,0 0 0 0 0,-1-1 0 0 0,1 1 0 0 0,-1 0 0 0 0,1 0-1 0 0,-1 0 1 0 0,0 0 0 0 0,0 1 0 0 0,-2-3 0 0 0,0 6-1779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0-27T19:41:12.370"/>
    </inkml:context>
    <inkml:brush xml:id="br0">
      <inkml:brushProperty name="width" value="0.05" units="cm"/>
      <inkml:brushProperty name="height" value="0.05" units="cm"/>
    </inkml:brush>
  </inkml:definitions>
  <inkml:trace contextRef="#ctx0" brushRef="#br0">14 10 455 0 0,'-10'-9'13504'0'0,"7"18"-13392"0"0,3-6 656 0 0,0 1-512 0 0,2 15 0 0 0,-2-14 592 0 0,2 1-661 0 0,1 1-132 0 0,-2-4-27 0 0,0-1 1 0 0,0 0-1 0 0,0 1 0 0 0,0 0 0 0 0,-1-1 1 0 0,1 1-1 0 0,-1-1 0 0 0,0 5 290 0 0,3 0-168 0 0,5 20 2 0 0,-6-21 156 0 0,0 1-134 0 0,6 19 8 0 0,-5-20 186 0 0,-2 0-184 0 0,1 1-113 0 0,5 22 618 0 0,-3-7-593 0 0,-3-16 168 0 0,-2-2-184 0 0,-1 12 2 0 0,2-13 92 0 0,-4 3-292 0 0,2-6-517 0 0,5-6-617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0-27T19:41:13.558"/>
    </inkml:context>
    <inkml:brush xml:id="br0">
      <inkml:brushProperty name="width" value="0.05" units="cm"/>
      <inkml:brushProperty name="height" value="0.05" units="cm"/>
    </inkml:brush>
  </inkml:definitions>
  <inkml:trace contextRef="#ctx0" brushRef="#br0">4 111 919 0 0,'-1'-3'1002'0'0,"0"-2"-466"0"0,0-1 0 0 0,1 1 0 0 0,0 0 0 0 0,-1-1 0 0 0,1 1 0 0 0,0-1 0 0 0,1 1 0 0 0,-1 0 0 0 0,0-1 1 0 0,1 1-1 0 0,0 0 0 0 0,-1-1 0 0 0,1 1 0 0 0,0 0 0 0 0,0 0 0 0 0,2-5 0 0 0,3-1 2013 0 0,0 11-2435 0 0,16-1-102 0 0,-16 1-72 0 0,-1 5-91 0 0,16 19 123 0 0,-16-19-52 0 0,-2 3-87 0 0,7 21 66 0 0,-7-23-15 0 0,-1 13-166 0 0,-2-17 268 0 0,0 0 0 0 0,0 1 1 0 0,0-1-1 0 0,0 0 0 0 0,1 0 1 0 0,-1 0-1 0 0,-1 0 0 0 0,1 0 0 0 0,0 1 1 0 0,0-1-1 0 0,-1 2 0 0 0,-6 51-658 0 0,-17 64 0 0 0,23-113 592 0 0,-8 37-72 0 0,1-9 152 0 0,1-8 142 0 0,7-15 6212 0 0,19-22-6078 0 0,-15 8 216 0 0,0 1-357 0 0,14-11-40 0 0,-14 11 51 0 0,1-1-86 0 0,15-7-32 0 0,-15 8 52 0 0,0 0 0 0 0,14-8-52 0 0,-14 8 32 0 0,-1 1 0 0 0,14-5-64 0 0,-14 5-72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0-27T19:41:14.688"/>
    </inkml:context>
    <inkml:brush xml:id="br0">
      <inkml:brushProperty name="width" value="0.05" units="cm"/>
      <inkml:brushProperty name="height" value="0.05" units="cm"/>
    </inkml:brush>
  </inkml:definitions>
  <inkml:trace contextRef="#ctx0" brushRef="#br0">59 103 919 0 0,'0'0'96'0'0,"-19"0"1522"0"0,17 0-2288 0 0,-8 0 4285 0 0,10 0-3482 0 0,0 0 0 0 0,-1 0 0 0 0,1 0 0 0 0,0-1 0 0 0,0 1 0 0 0,0 0 0 0 0,-1 0 0 0 0,1-1 0 0 0,0 1 0 0 0,0 0 0 0 0,0-1 0 0 0,0 1 0 0 0,0 0 0 0 0,0 0 0 0 0,0-1 0 0 0,0 1 0 0 0,0 0 0 0 0,0-1 0 0 0,0 1 0 0 0,0 0 0 0 0,0 0 0 0 0,0-1 0 0 0,0 1 0 0 0,0 0-1 0 0,0-1 1 0 0,0 1 0 0 0,0 0 0 0 0,0-1 0 0 0,1 1 0 0 0,-1-2 1278 0 0,2-2-868 0 0,8-10 7 0 0,-8 11 5 0 0,0 0 10 0 0,8-9 3 0 0,-8 9 0 0 0,0 0 60 0 0,7-9 254 0 0,-6 9 1136 0 0,1-1-1164 0 0,10-10-726 0 0,-10 11-347 0 0,3 1-304 0 0,19-8 465 0 0,-20 8-8 0 0,3 6-54 0 0,27 11 6 0 0,-27-12 8 0 0,-6 4-334 0 0,6 22 330 0 0,-7-22 4 0 0,-3-3 2 0 0,-1 12 0 0 0,1-12-6 0 0,0 0-29 0 0,-6 17-542 0 0,-13 30-1 0 0,8-21 366 0 0,7-12 454 0 0,15-34 1891 0 0,-1 16-1780 0 0,24-2-31 0 0,-32 2-215 0 0,-1 0 1 0 0,1 0 0 0 0,0 0-1 0 0,0 0 1 0 0,-1 0-1 0 0,1 0 1 0 0,0 0 0 0 0,-1 0-1 0 0,1 0 1 0 0,0 0 0 0 0,0 1-1 0 0,-1-1 1 0 0,1 0 0 0 0,0 0-1 0 0,-1 1 1 0 0,1-1 0 0 0,0 1-1 0 0,-1-1 1 0 0,1 0 0 0 0,-1 1-1 0 0,1-1 1 0 0,0 2 0 0 0,8 5-1 0 0,0 0 1 0 0,9 10-1 0 0,-14-12-3 0 0,-1-1 0 0 0,1 1 0 0 0,-1 0 0 0 0,0 0 0 0 0,0 0 0 0 0,2 7 0 0 0,2 17 12 0 0,-6-24 52 0 0,-2 0 30 0 0,0 1-65 0 0,1-2 9 0 0,0 0-1 0 0,-1 0 1 0 0,0 0 0 0 0,0 0-1 0 0,0-1 1 0 0,-1 1 0 0 0,1 0-1 0 0,-1-1 1 0 0,0 1 0 0 0,-4 5 0 0 0,-5 11 52 0 0,7-17-92 0 0,0 0 4 0 0,-1 2 7 0 0,0 0 0 0 0,0-1-1 0 0,0 1 1 0 0,-1-1 0 0 0,0 0-1 0 0,1-1 1 0 0,-2 0 0 0 0,1 0-1 0 0,0 0 1 0 0,0 0 0 0 0,-1-1 0 0 0,1 0-1 0 0,-1-1 1 0 0,0 1 0 0 0,1-1-1 0 0,-1-1 1 0 0,0 1 0 0 0,0-1-1 0 0,0 0 1 0 0,0-1 0 0 0,1 1-1 0 0,-1-1 1 0 0,0-1 0 0 0,-10-2 0 0 0,6-1-344 0 0,0 0 1 0 0,-1 0-1 0 0,2-1 1 0 0,-19-12 0 0 0,27 17-117 0 0,1-1-12 0 0,-3-6-803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0-27T19:45:31.384"/>
    </inkml:context>
    <inkml:brush xml:id="br0">
      <inkml:brushProperty name="width" value="0.05" units="cm"/>
      <inkml:brushProperty name="height" value="0.05" units="cm"/>
      <inkml:brushProperty name="color" value="#E71224"/>
    </inkml:brush>
  </inkml:definitions>
  <inkml:trace contextRef="#ctx0" brushRef="#br0">8 60 2799 0 0,'0'-8'0'0'0,"0"6"0"0"0,0 1 0 0 0,0-1 0 0 0,0 0 0 0 0,0 1 0 0 0,0-2 0 0 0,0 2 0 0 0,0-1 0 0 0,-1 1 0 0 0,1-1 0 0 0,-2-2 0 0 0,-2-17 464 0 0,4 21-368 0 0,0 0 1 0 0,0 0-1 0 0,0 0 0 0 0,1 0 0 0 0,-1 0 0 0 0,0 0 0 0 0,0 0 0 0 0,0 0 0 0 0,1 0 0 0 0,-1 0 0 0 0,0 0 0 0 0,0 0 0 0 0,0 0 0 0 0,1 0 0 0 0,-1 0 0 0 0,0 0 0 0 0,0-2 0 0 0,0 2 0 0 0,0 0 0 0 0,0 0 0 0 0,1 0 0 0 0,-1 0 0 0 0,0 0 0 0 0,0 0 0 0 0,0-1 1 0 0,0 1-1 0 0,0 0 0 0 0,0 0 0 0 0,0 0 0 0 0,1 0 0 0 0,-1-1 0 0 0,0 1 0 0 0,0 0 0 0 0,0 0 0 0 0,0 0 0 0 0,0-1 0 0 0,0 1 0 0 0,0 0 0 0 0,0 0 0 0 0,0 0 0 0 0,0-1 0 0 0,0 1 0 0 0,0 0 0 0 0,0 0 0 0 0,0 0 0 0 0,0 0 0 0 0,0-1 0 0 0,0 1 0 0 0,-1 0 1 0 0,1 0-1 0 0,-1-2 1623 0 0,6 25 399 0 0,-3-18-1848 0 0,-1-2-1 0 0,1 1 0 0 0,-1 0 0 0 0,0 0 1 0 0,0 0-1 0 0,-1 0 0 0 0,1 6 1 0 0,0-3-110 0 0,2 15 355 0 0,-1 1-1 0 0,0-1 1 0 0,-2 2 0 0 0,-3 29-1 0 0,2-35-435 0 0,1 1-1 0 0,3 24 0 0 0,-1 10 31 0 0,-1-35-66 0 0,1 1 0 0 0,6 27 0 0 0,-5-28-1 0 0,0 0 1 0 0,2 29-1 0 0,1 74 28 0 0,-1 0-76 0 0,-3-59 6 0 0,-3-43 0 0 0,3 37 0 0 0,1-7 0 0 0,-2-7 0 0 0,0-17 0 0 0,-3 33 0 0 0,1-44 0 0 0,1-1 0 0 0,1 1 0 0 0,0-1 0 0 0,4 22 0 0 0,1 8 0 0 0,-1-5-23 0 0,-2-14 2 0 0,0 26 1 0 0,-4-33 373 0 0,0-17-342 0 0,1 0 1 0 0,-1 0 0 0 0,1 0 0 0 0,-1-1 0 0 0,1 1 0 0 0,-1 0 0 0 0,1 0 0 0 0,-1 0-1 0 0,1 0 1 0 0,-1-1 0 0 0,1 1 0 0 0,-1 0 0 0 0,1 0 0 0 0,0-1 0 0 0,-1 1 0 0 0,1 0 0 0 0,-1-1-1 0 0,1 1 1 0 0,0 0 0 0 0,-1-1 0 0 0,1 1 0 0 0,0 0 0 0 0,-1-1 0 0 0,1-1 0 0 0,-2-4-2368 0 0</inkml:trace>
</inkm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BE614-C3AC-4187-8262-613D84FEBEA9}">
  <dimension ref="A1:D7"/>
  <sheetViews>
    <sheetView tabSelected="1" workbookViewId="0">
      <selection activeCell="F20" sqref="F20"/>
    </sheetView>
  </sheetViews>
  <sheetFormatPr defaultRowHeight="15" x14ac:dyDescent="0.25"/>
  <cols>
    <col min="3" max="3" width="13.7109375" bestFit="1" customWidth="1"/>
    <col min="6" max="6" width="17.5703125" bestFit="1" customWidth="1"/>
  </cols>
  <sheetData>
    <row r="1" spans="1:4" x14ac:dyDescent="0.25">
      <c r="A1">
        <v>5</v>
      </c>
      <c r="C1" t="s">
        <v>0</v>
      </c>
      <c r="D1" s="1">
        <f>AVERAGE(A1:A7)</f>
        <v>6.8571428571428568</v>
      </c>
    </row>
    <row r="2" spans="1:4" x14ac:dyDescent="0.25">
      <c r="A2">
        <v>6</v>
      </c>
    </row>
    <row r="3" spans="1:4" x14ac:dyDescent="0.25">
      <c r="A3">
        <v>8</v>
      </c>
    </row>
    <row r="4" spans="1:4" x14ac:dyDescent="0.25">
      <c r="A4">
        <v>10</v>
      </c>
    </row>
    <row r="5" spans="1:4" x14ac:dyDescent="0.25">
      <c r="A5">
        <v>4</v>
      </c>
    </row>
    <row r="6" spans="1:4" x14ac:dyDescent="0.25">
      <c r="A6">
        <v>6</v>
      </c>
    </row>
    <row r="7" spans="1:4" x14ac:dyDescent="0.25">
      <c r="A7">
        <v>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1B1EC-5A53-47D6-98E4-5AB723C34F37}">
  <dimension ref="A1:C8"/>
  <sheetViews>
    <sheetView workbookViewId="0">
      <selection activeCell="F18" sqref="F18"/>
    </sheetView>
  </sheetViews>
  <sheetFormatPr defaultRowHeight="15" x14ac:dyDescent="0.25"/>
  <cols>
    <col min="2" max="2" width="11.5703125" customWidth="1"/>
    <col min="7" max="7" width="11.85546875" bestFit="1" customWidth="1"/>
  </cols>
  <sheetData>
    <row r="1" spans="1:3" x14ac:dyDescent="0.25">
      <c r="B1" t="s">
        <v>4</v>
      </c>
      <c r="C1" t="s">
        <v>5</v>
      </c>
    </row>
    <row r="2" spans="1:3" x14ac:dyDescent="0.25">
      <c r="A2" t="s">
        <v>6</v>
      </c>
      <c r="B2">
        <v>89</v>
      </c>
      <c r="C2">
        <v>0.48</v>
      </c>
    </row>
    <row r="3" spans="1:3" x14ac:dyDescent="0.25">
      <c r="A3" t="s">
        <v>7</v>
      </c>
      <c r="B3">
        <v>76</v>
      </c>
      <c r="C3">
        <v>0.24</v>
      </c>
    </row>
    <row r="4" spans="1:3" x14ac:dyDescent="0.25">
      <c r="A4" t="s">
        <v>8</v>
      </c>
      <c r="B4">
        <v>95</v>
      </c>
      <c r="C4">
        <v>0.16</v>
      </c>
    </row>
    <row r="5" spans="1:3" x14ac:dyDescent="0.25">
      <c r="A5" t="s">
        <v>9</v>
      </c>
      <c r="B5">
        <v>87</v>
      </c>
      <c r="C5">
        <v>0.12</v>
      </c>
    </row>
    <row r="6" spans="1:3" x14ac:dyDescent="0.25">
      <c r="C6">
        <f>SUM(C2:C5)</f>
        <v>1</v>
      </c>
    </row>
    <row r="8" spans="1:3" x14ac:dyDescent="0.25">
      <c r="B8">
        <f>SUMPRODUCT(B2:B5,C2:C5)</f>
        <v>86.6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52ED1-D2DD-4A43-A8B9-4349C8A41EC8}">
  <dimension ref="A1:E9"/>
  <sheetViews>
    <sheetView workbookViewId="0">
      <selection activeCell="D15" sqref="D15"/>
    </sheetView>
  </sheetViews>
  <sheetFormatPr defaultRowHeight="15" x14ac:dyDescent="0.25"/>
  <sheetData>
    <row r="1" spans="1:5" x14ac:dyDescent="0.25">
      <c r="A1" t="s">
        <v>10</v>
      </c>
      <c r="B1" t="s">
        <v>12</v>
      </c>
      <c r="D1" t="s">
        <v>11</v>
      </c>
      <c r="E1" t="s">
        <v>12</v>
      </c>
    </row>
    <row r="2" spans="1:5" x14ac:dyDescent="0.25">
      <c r="A2">
        <v>3</v>
      </c>
      <c r="B2" s="1">
        <f>MEDIAN(A2:A8)</f>
        <v>6</v>
      </c>
      <c r="D2">
        <v>5</v>
      </c>
      <c r="E2" s="1">
        <f>MEDIAN(D2:D9)</f>
        <v>7.5</v>
      </c>
    </row>
    <row r="3" spans="1:5" x14ac:dyDescent="0.25">
      <c r="A3">
        <v>4</v>
      </c>
      <c r="D3">
        <v>7</v>
      </c>
    </row>
    <row r="4" spans="1:5" x14ac:dyDescent="0.25">
      <c r="A4">
        <v>6</v>
      </c>
      <c r="D4">
        <v>8</v>
      </c>
    </row>
    <row r="5" spans="1:5" x14ac:dyDescent="0.25">
      <c r="A5">
        <v>7</v>
      </c>
      <c r="D5">
        <v>1</v>
      </c>
    </row>
    <row r="6" spans="1:5" x14ac:dyDescent="0.25">
      <c r="A6">
        <v>2</v>
      </c>
      <c r="D6">
        <v>4</v>
      </c>
    </row>
    <row r="7" spans="1:5" x14ac:dyDescent="0.25">
      <c r="A7">
        <v>8</v>
      </c>
      <c r="D7">
        <v>9</v>
      </c>
    </row>
    <row r="8" spans="1:5" x14ac:dyDescent="0.25">
      <c r="A8">
        <v>9</v>
      </c>
      <c r="D8">
        <v>8</v>
      </c>
    </row>
    <row r="9" spans="1:5" x14ac:dyDescent="0.25">
      <c r="D9">
        <v>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BD5D5-57C6-4C34-A9F6-02BF2BBFF4E1}">
  <dimension ref="A1:H11"/>
  <sheetViews>
    <sheetView workbookViewId="0">
      <selection activeCell="J15" sqref="J15"/>
    </sheetView>
  </sheetViews>
  <sheetFormatPr defaultRowHeight="15" x14ac:dyDescent="0.25"/>
  <cols>
    <col min="1" max="5" width="9" style="2"/>
    <col min="6" max="6" width="11.5703125" style="2" customWidth="1"/>
    <col min="7" max="8" width="9" style="2"/>
  </cols>
  <sheetData>
    <row r="1" spans="1:8" x14ac:dyDescent="0.25">
      <c r="A1" s="2" t="s">
        <v>13</v>
      </c>
      <c r="B1" s="2" t="s">
        <v>2</v>
      </c>
      <c r="C1" s="2" t="s">
        <v>14</v>
      </c>
      <c r="D1" s="2" t="s">
        <v>2</v>
      </c>
      <c r="E1" s="2" t="s">
        <v>15</v>
      </c>
      <c r="F1" s="2" t="s">
        <v>2</v>
      </c>
      <c r="G1" s="2" t="s">
        <v>16</v>
      </c>
      <c r="H1" s="2" t="s">
        <v>2</v>
      </c>
    </row>
    <row r="2" spans="1:8" x14ac:dyDescent="0.25">
      <c r="A2" s="2">
        <v>6</v>
      </c>
      <c r="B2" s="3">
        <f>MODE(A2:A11)</f>
        <v>7</v>
      </c>
      <c r="C2" s="2">
        <v>3</v>
      </c>
      <c r="D2" s="3" t="e">
        <f>MODE(C2:C8)</f>
        <v>#N/A</v>
      </c>
      <c r="E2" s="2">
        <v>2</v>
      </c>
      <c r="F2" s="3" cm="1">
        <f t="array" ref="F2:F3">_xlfn.MODE.MULT(E2:E9)</f>
        <v>2</v>
      </c>
      <c r="G2" s="2">
        <v>2</v>
      </c>
      <c r="H2" s="3" cm="1">
        <f t="array" ref="H2:H5">_xlfn.MODE.MULT(G2:G9)</f>
        <v>2</v>
      </c>
    </row>
    <row r="3" spans="1:8" x14ac:dyDescent="0.25">
      <c r="A3" s="2">
        <v>4</v>
      </c>
      <c r="C3" s="2">
        <v>4</v>
      </c>
      <c r="E3" s="2">
        <v>5</v>
      </c>
      <c r="F3" s="2">
        <v>7</v>
      </c>
      <c r="G3" s="2">
        <v>2</v>
      </c>
      <c r="H3" s="2">
        <v>3</v>
      </c>
    </row>
    <row r="4" spans="1:8" x14ac:dyDescent="0.25">
      <c r="A4" s="2">
        <v>6</v>
      </c>
      <c r="C4" s="2">
        <v>7</v>
      </c>
      <c r="E4" s="2">
        <v>7</v>
      </c>
      <c r="G4" s="2">
        <v>3</v>
      </c>
      <c r="H4" s="2">
        <v>4</v>
      </c>
    </row>
    <row r="5" spans="1:8" x14ac:dyDescent="0.25">
      <c r="A5" s="2">
        <v>1</v>
      </c>
      <c r="C5" s="2">
        <v>8</v>
      </c>
      <c r="E5" s="2">
        <v>2</v>
      </c>
      <c r="G5" s="2">
        <v>3</v>
      </c>
      <c r="H5" s="2">
        <v>5</v>
      </c>
    </row>
    <row r="6" spans="1:8" x14ac:dyDescent="0.25">
      <c r="A6" s="2">
        <v>7</v>
      </c>
      <c r="C6" s="2">
        <v>1</v>
      </c>
      <c r="E6" s="2">
        <v>8</v>
      </c>
      <c r="G6" s="2">
        <v>4</v>
      </c>
    </row>
    <row r="7" spans="1:8" x14ac:dyDescent="0.25">
      <c r="A7" s="2">
        <v>8</v>
      </c>
      <c r="C7" s="2">
        <v>6</v>
      </c>
      <c r="E7" s="2">
        <v>7</v>
      </c>
      <c r="G7" s="2">
        <v>4</v>
      </c>
    </row>
    <row r="8" spans="1:8" x14ac:dyDescent="0.25">
      <c r="A8" s="2">
        <v>7</v>
      </c>
      <c r="C8" s="2">
        <v>9</v>
      </c>
      <c r="E8" s="2">
        <v>9</v>
      </c>
      <c r="G8" s="2">
        <v>5</v>
      </c>
    </row>
    <row r="9" spans="1:8" x14ac:dyDescent="0.25">
      <c r="A9" s="2">
        <v>2</v>
      </c>
      <c r="E9" s="2">
        <v>3</v>
      </c>
      <c r="G9" s="2">
        <v>5</v>
      </c>
    </row>
    <row r="10" spans="1:8" x14ac:dyDescent="0.25">
      <c r="A10" s="2">
        <v>5</v>
      </c>
    </row>
    <row r="11" spans="1:8" x14ac:dyDescent="0.25">
      <c r="A11" s="2">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353B3-EE0A-4919-87D0-EF188500AB5F}">
  <dimension ref="A1:E21"/>
  <sheetViews>
    <sheetView workbookViewId="0">
      <selection activeCell="H20" sqref="H20"/>
    </sheetView>
  </sheetViews>
  <sheetFormatPr defaultRowHeight="15" x14ac:dyDescent="0.25"/>
  <cols>
    <col min="3" max="3" width="21.42578125" customWidth="1"/>
    <col min="4" max="4" width="18.140625" bestFit="1" customWidth="1"/>
  </cols>
  <sheetData>
    <row r="1" spans="1:5" x14ac:dyDescent="0.25">
      <c r="A1">
        <v>84</v>
      </c>
      <c r="C1" t="s">
        <v>17</v>
      </c>
      <c r="D1" s="1">
        <f>AVERAGE(A1:A8)</f>
        <v>75.25</v>
      </c>
    </row>
    <row r="2" spans="1:5" x14ac:dyDescent="0.25">
      <c r="A2">
        <v>80</v>
      </c>
    </row>
    <row r="3" spans="1:5" x14ac:dyDescent="0.25">
      <c r="A3">
        <v>82</v>
      </c>
      <c r="C3" t="s">
        <v>12</v>
      </c>
      <c r="D3" s="1">
        <f>MEDIAN(A1:A8)</f>
        <v>79.5</v>
      </c>
    </row>
    <row r="4" spans="1:5" x14ac:dyDescent="0.25">
      <c r="A4">
        <v>77</v>
      </c>
    </row>
    <row r="5" spans="1:5" x14ac:dyDescent="0.25">
      <c r="A5">
        <v>78</v>
      </c>
      <c r="C5" t="s">
        <v>18</v>
      </c>
      <c r="D5" s="1" cm="1">
        <f t="array" ref="D5">_xlfn.MODE.MULT(A1:A8)</f>
        <v>80</v>
      </c>
    </row>
    <row r="6" spans="1:5" ht="15.75" thickBot="1" x14ac:dyDescent="0.3">
      <c r="A6">
        <v>80</v>
      </c>
    </row>
    <row r="7" spans="1:5" x14ac:dyDescent="0.25">
      <c r="A7">
        <v>79</v>
      </c>
      <c r="C7" t="s">
        <v>1</v>
      </c>
      <c r="D7" s="8" t="s">
        <v>31</v>
      </c>
      <c r="E7" s="8"/>
    </row>
    <row r="8" spans="1:5" x14ac:dyDescent="0.25">
      <c r="A8">
        <v>42</v>
      </c>
    </row>
    <row r="9" spans="1:5" x14ac:dyDescent="0.25">
      <c r="D9" t="s">
        <v>32</v>
      </c>
      <c r="E9">
        <v>75.25</v>
      </c>
    </row>
    <row r="10" spans="1:5" x14ac:dyDescent="0.25">
      <c r="D10" t="s">
        <v>33</v>
      </c>
      <c r="E10">
        <v>4.8134855206121534</v>
      </c>
    </row>
    <row r="11" spans="1:5" x14ac:dyDescent="0.25">
      <c r="D11" t="s">
        <v>28</v>
      </c>
      <c r="E11">
        <v>79.5</v>
      </c>
    </row>
    <row r="12" spans="1:5" x14ac:dyDescent="0.25">
      <c r="D12" t="s">
        <v>2</v>
      </c>
      <c r="E12">
        <v>80</v>
      </c>
    </row>
    <row r="13" spans="1:5" x14ac:dyDescent="0.25">
      <c r="D13" t="s">
        <v>3</v>
      </c>
      <c r="E13">
        <v>13.614593011072452</v>
      </c>
    </row>
    <row r="14" spans="1:5" x14ac:dyDescent="0.25">
      <c r="D14" t="s">
        <v>34</v>
      </c>
      <c r="E14">
        <v>185.35714285714286</v>
      </c>
    </row>
    <row r="15" spans="1:5" x14ac:dyDescent="0.25">
      <c r="D15" t="s">
        <v>35</v>
      </c>
      <c r="E15">
        <v>7.3892382638912082</v>
      </c>
    </row>
    <row r="16" spans="1:5" x14ac:dyDescent="0.25">
      <c r="D16" t="s">
        <v>36</v>
      </c>
      <c r="E16">
        <v>-2.6786966112163593</v>
      </c>
    </row>
    <row r="17" spans="4:5" x14ac:dyDescent="0.25">
      <c r="D17" t="s">
        <v>37</v>
      </c>
      <c r="E17">
        <v>42</v>
      </c>
    </row>
    <row r="18" spans="4:5" x14ac:dyDescent="0.25">
      <c r="D18" t="s">
        <v>38</v>
      </c>
      <c r="E18">
        <v>42</v>
      </c>
    </row>
    <row r="19" spans="4:5" x14ac:dyDescent="0.25">
      <c r="D19" t="s">
        <v>39</v>
      </c>
      <c r="E19">
        <v>84</v>
      </c>
    </row>
    <row r="20" spans="4:5" x14ac:dyDescent="0.25">
      <c r="D20" t="s">
        <v>40</v>
      </c>
      <c r="E20">
        <v>602</v>
      </c>
    </row>
    <row r="21" spans="4:5" ht="15.75" thickBot="1" x14ac:dyDescent="0.3">
      <c r="D21" s="7" t="s">
        <v>41</v>
      </c>
      <c r="E21" s="7">
        <v>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0A067-21EE-499A-894C-97AF2CB188E2}">
  <dimension ref="A1:F20"/>
  <sheetViews>
    <sheetView workbookViewId="0">
      <selection activeCell="H18" sqref="H18"/>
    </sheetView>
  </sheetViews>
  <sheetFormatPr defaultRowHeight="15" x14ac:dyDescent="0.25"/>
  <cols>
    <col min="3" max="4" width="18.140625" bestFit="1" customWidth="1"/>
  </cols>
  <sheetData>
    <row r="1" spans="1:6" x14ac:dyDescent="0.25">
      <c r="A1">
        <v>3</v>
      </c>
      <c r="D1" t="s">
        <v>21</v>
      </c>
      <c r="F1" t="s">
        <v>22</v>
      </c>
    </row>
    <row r="2" spans="1:6" x14ac:dyDescent="0.25">
      <c r="A2">
        <v>2</v>
      </c>
      <c r="C2" t="s">
        <v>19</v>
      </c>
      <c r="D2" s="1">
        <f>_xlfn.VAR.S(A1:A5)</f>
        <v>2.5</v>
      </c>
      <c r="F2" s="1">
        <f>_xlfn.VAR.P(A1:A5)</f>
        <v>2</v>
      </c>
    </row>
    <row r="3" spans="1:6" x14ac:dyDescent="0.25">
      <c r="A3">
        <v>5</v>
      </c>
    </row>
    <row r="4" spans="1:6" x14ac:dyDescent="0.25">
      <c r="A4">
        <v>6</v>
      </c>
      <c r="C4" t="s">
        <v>3</v>
      </c>
      <c r="D4" s="1">
        <f>_xlfn.STDEV.S(A1:A5)</f>
        <v>1.5811388300841898</v>
      </c>
      <c r="F4" s="1">
        <f>_xlfn.STDEV.P(A1:A5)</f>
        <v>1.4142135623730951</v>
      </c>
    </row>
    <row r="5" spans="1:6" ht="15.75" thickBot="1" x14ac:dyDescent="0.3">
      <c r="A5">
        <v>4</v>
      </c>
    </row>
    <row r="6" spans="1:6" x14ac:dyDescent="0.25">
      <c r="C6" t="s">
        <v>20</v>
      </c>
      <c r="D6" s="11" t="s">
        <v>31</v>
      </c>
      <c r="E6" s="11"/>
    </row>
    <row r="7" spans="1:6" x14ac:dyDescent="0.25">
      <c r="C7" t="s">
        <v>23</v>
      </c>
      <c r="D7" s="9"/>
      <c r="E7" s="9"/>
    </row>
    <row r="8" spans="1:6" x14ac:dyDescent="0.25">
      <c r="D8" s="9" t="s">
        <v>32</v>
      </c>
      <c r="E8" s="9">
        <v>4</v>
      </c>
    </row>
    <row r="9" spans="1:6" x14ac:dyDescent="0.25">
      <c r="D9" s="9" t="s">
        <v>33</v>
      </c>
      <c r="E9" s="9">
        <v>0.70710678118654757</v>
      </c>
    </row>
    <row r="10" spans="1:6" x14ac:dyDescent="0.25">
      <c r="D10" s="9" t="s">
        <v>28</v>
      </c>
      <c r="E10" s="9">
        <v>4</v>
      </c>
    </row>
    <row r="11" spans="1:6" x14ac:dyDescent="0.25">
      <c r="D11" s="9" t="s">
        <v>2</v>
      </c>
      <c r="E11" s="9" t="e">
        <v>#N/A</v>
      </c>
    </row>
    <row r="12" spans="1:6" x14ac:dyDescent="0.25">
      <c r="D12" s="9" t="s">
        <v>3</v>
      </c>
      <c r="E12" s="9">
        <v>1.5811388300841898</v>
      </c>
    </row>
    <row r="13" spans="1:6" x14ac:dyDescent="0.25">
      <c r="D13" s="9" t="s">
        <v>34</v>
      </c>
      <c r="E13" s="9">
        <v>2.5</v>
      </c>
    </row>
    <row r="14" spans="1:6" x14ac:dyDescent="0.25">
      <c r="D14" s="9" t="s">
        <v>35</v>
      </c>
      <c r="E14" s="9">
        <v>-1.1999999999999984</v>
      </c>
    </row>
    <row r="15" spans="1:6" x14ac:dyDescent="0.25">
      <c r="D15" s="9" t="s">
        <v>36</v>
      </c>
      <c r="E15" s="9">
        <v>0</v>
      </c>
    </row>
    <row r="16" spans="1:6" x14ac:dyDescent="0.25">
      <c r="D16" s="9" t="s">
        <v>37</v>
      </c>
      <c r="E16" s="9">
        <v>4</v>
      </c>
    </row>
    <row r="17" spans="4:5" x14ac:dyDescent="0.25">
      <c r="D17" s="9" t="s">
        <v>38</v>
      </c>
      <c r="E17" s="9">
        <v>2</v>
      </c>
    </row>
    <row r="18" spans="4:5" x14ac:dyDescent="0.25">
      <c r="D18" s="9" t="s">
        <v>39</v>
      </c>
      <c r="E18" s="9">
        <v>6</v>
      </c>
    </row>
    <row r="19" spans="4:5" x14ac:dyDescent="0.25">
      <c r="D19" s="9" t="s">
        <v>40</v>
      </c>
      <c r="E19" s="9">
        <v>20</v>
      </c>
    </row>
    <row r="20" spans="4:5" ht="15.75" thickBot="1" x14ac:dyDescent="0.3">
      <c r="D20" s="10" t="s">
        <v>41</v>
      </c>
      <c r="E20" s="10">
        <v>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17C1F-4E3A-485C-ABC7-723DF71A6DEA}">
  <dimension ref="A1:J35"/>
  <sheetViews>
    <sheetView workbookViewId="0">
      <selection activeCell="H25" sqref="H25"/>
    </sheetView>
  </sheetViews>
  <sheetFormatPr defaultRowHeight="15" x14ac:dyDescent="0.25"/>
  <cols>
    <col min="4" max="4" width="10.5703125" bestFit="1" customWidth="1"/>
    <col min="5" max="5" width="11.5703125" bestFit="1" customWidth="1"/>
    <col min="7" max="7" width="8.140625" customWidth="1"/>
    <col min="8" max="8" width="10.42578125" bestFit="1" customWidth="1"/>
    <col min="9" max="9" width="11.5703125" bestFit="1" customWidth="1"/>
  </cols>
  <sheetData>
    <row r="1" spans="1:10" x14ac:dyDescent="0.25">
      <c r="A1" t="s">
        <v>24</v>
      </c>
      <c r="B1" t="s">
        <v>25</v>
      </c>
      <c r="D1" t="s">
        <v>26</v>
      </c>
      <c r="E1" t="s">
        <v>27</v>
      </c>
      <c r="F1" s="1">
        <f>_xlfn.QUARTILE.INC(A2:A15, 1)</f>
        <v>65</v>
      </c>
      <c r="G1">
        <f>_xlfn.PERCENTILE.INC(A2:A15,0.25)</f>
        <v>65</v>
      </c>
      <c r="H1" t="s">
        <v>30</v>
      </c>
      <c r="I1" t="s">
        <v>27</v>
      </c>
      <c r="J1" s="1">
        <f>_xlfn.QUARTILE.EXC(B2:B16,1)</f>
        <v>67</v>
      </c>
    </row>
    <row r="2" spans="1:10" x14ac:dyDescent="0.25">
      <c r="A2">
        <v>60</v>
      </c>
      <c r="B2">
        <v>59</v>
      </c>
      <c r="E2" t="s">
        <v>28</v>
      </c>
      <c r="F2" s="1">
        <f>_xlfn.QUARTILE.INC(A2:A15,2)</f>
        <v>70.5</v>
      </c>
      <c r="G2">
        <f>MEDIAN(A2:A15)</f>
        <v>70.5</v>
      </c>
      <c r="I2" t="s">
        <v>28</v>
      </c>
      <c r="J2" s="1">
        <f>_xlfn.QUARTILE.EXC(B2:B16,2)</f>
        <v>75</v>
      </c>
    </row>
    <row r="3" spans="1:10" x14ac:dyDescent="0.25">
      <c r="A3">
        <v>62</v>
      </c>
      <c r="B3">
        <v>66</v>
      </c>
      <c r="E3" t="s">
        <v>29</v>
      </c>
      <c r="F3" s="1">
        <f>_xlfn.QUARTILE.INC(A2:A15,3)</f>
        <v>77.25</v>
      </c>
      <c r="I3" t="s">
        <v>29</v>
      </c>
      <c r="J3" s="1">
        <f>_xlfn.QUARTILE.EXC(B2:B16,3)</f>
        <v>79</v>
      </c>
    </row>
    <row r="4" spans="1:10" x14ac:dyDescent="0.25">
      <c r="A4">
        <v>63</v>
      </c>
      <c r="B4">
        <v>67</v>
      </c>
    </row>
    <row r="5" spans="1:10" x14ac:dyDescent="0.25">
      <c r="A5">
        <v>65</v>
      </c>
      <c r="B5">
        <v>67</v>
      </c>
    </row>
    <row r="6" spans="1:10" x14ac:dyDescent="0.25">
      <c r="A6">
        <v>65</v>
      </c>
      <c r="B6">
        <v>72</v>
      </c>
    </row>
    <row r="7" spans="1:10" x14ac:dyDescent="0.25">
      <c r="A7">
        <v>67</v>
      </c>
      <c r="B7">
        <v>74</v>
      </c>
    </row>
    <row r="8" spans="1:10" x14ac:dyDescent="0.25">
      <c r="A8">
        <v>70</v>
      </c>
      <c r="B8">
        <v>75</v>
      </c>
    </row>
    <row r="9" spans="1:10" x14ac:dyDescent="0.25">
      <c r="A9">
        <v>71</v>
      </c>
      <c r="B9">
        <v>75</v>
      </c>
    </row>
    <row r="10" spans="1:10" x14ac:dyDescent="0.25">
      <c r="A10">
        <v>71</v>
      </c>
      <c r="B10">
        <v>75</v>
      </c>
    </row>
    <row r="11" spans="1:10" x14ac:dyDescent="0.25">
      <c r="A11">
        <v>75</v>
      </c>
      <c r="B11">
        <v>76</v>
      </c>
    </row>
    <row r="12" spans="1:10" x14ac:dyDescent="0.25">
      <c r="A12">
        <v>78</v>
      </c>
      <c r="B12">
        <v>78</v>
      </c>
    </row>
    <row r="13" spans="1:10" x14ac:dyDescent="0.25">
      <c r="A13">
        <v>79</v>
      </c>
      <c r="B13">
        <v>79</v>
      </c>
    </row>
    <row r="14" spans="1:10" x14ac:dyDescent="0.25">
      <c r="A14">
        <v>80</v>
      </c>
      <c r="B14">
        <v>80</v>
      </c>
    </row>
    <row r="15" spans="1:10" x14ac:dyDescent="0.25">
      <c r="A15">
        <v>81</v>
      </c>
      <c r="B15">
        <v>81</v>
      </c>
    </row>
    <row r="16" spans="1:10" x14ac:dyDescent="0.25">
      <c r="B16">
        <v>85</v>
      </c>
    </row>
    <row r="22" spans="8:8" x14ac:dyDescent="0.25">
      <c r="H22" s="4"/>
    </row>
    <row r="23" spans="8:8" x14ac:dyDescent="0.25">
      <c r="H23" s="4"/>
    </row>
    <row r="24" spans="8:8" x14ac:dyDescent="0.25">
      <c r="H24" s="4"/>
    </row>
    <row r="25" spans="8:8" x14ac:dyDescent="0.25">
      <c r="H25" s="4"/>
    </row>
    <row r="26" spans="8:8" x14ac:dyDescent="0.25">
      <c r="H26" s="4"/>
    </row>
    <row r="27" spans="8:8" x14ac:dyDescent="0.25">
      <c r="H27" s="4"/>
    </row>
    <row r="28" spans="8:8" x14ac:dyDescent="0.25">
      <c r="H28" s="4"/>
    </row>
    <row r="29" spans="8:8" x14ac:dyDescent="0.25">
      <c r="H29" s="4"/>
    </row>
    <row r="30" spans="8:8" x14ac:dyDescent="0.25">
      <c r="H30" s="4"/>
    </row>
    <row r="31" spans="8:8" x14ac:dyDescent="0.25">
      <c r="H31" s="4"/>
    </row>
    <row r="32" spans="8:8" x14ac:dyDescent="0.25">
      <c r="H32" s="4"/>
    </row>
    <row r="33" spans="8:8" x14ac:dyDescent="0.25">
      <c r="H33" s="4"/>
    </row>
    <row r="34" spans="8:8" x14ac:dyDescent="0.25">
      <c r="H34" s="4"/>
    </row>
    <row r="35" spans="8:8" x14ac:dyDescent="0.25">
      <c r="H35" s="4"/>
    </row>
  </sheetData>
  <sortState xmlns:xlrd2="http://schemas.microsoft.com/office/spreadsheetml/2017/richdata2" ref="E22:H35">
    <sortCondition ref="G23"/>
  </sortState>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77AE-29C5-45DA-824E-C24F15A9421F}">
  <dimension ref="A1:B7"/>
  <sheetViews>
    <sheetView workbookViewId="0">
      <selection activeCell="E12" sqref="E12"/>
    </sheetView>
  </sheetViews>
  <sheetFormatPr defaultRowHeight="18.75" x14ac:dyDescent="0.3"/>
  <cols>
    <col min="1" max="1" width="9.5703125" style="5" bestFit="1" customWidth="1"/>
  </cols>
  <sheetData>
    <row r="1" spans="1:2" x14ac:dyDescent="0.3">
      <c r="B1">
        <v>630</v>
      </c>
    </row>
    <row r="2" spans="1:2" x14ac:dyDescent="0.3">
      <c r="A2" s="6"/>
      <c r="B2">
        <v>500</v>
      </c>
    </row>
    <row r="3" spans="1:2" x14ac:dyDescent="0.3">
      <c r="B3">
        <v>150</v>
      </c>
    </row>
    <row r="5" spans="1:2" x14ac:dyDescent="0.3">
      <c r="A5" s="5" t="s">
        <v>42</v>
      </c>
      <c r="B5">
        <f>(B1-B2)/B3</f>
        <v>0.8666666666666667</v>
      </c>
    </row>
    <row r="7" spans="1:2" x14ac:dyDescent="0.3">
      <c r="B7">
        <f>STANDARDIZE(B1,B2,B3)</f>
        <v>0.8666666666666667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34ECD-54E9-4E70-A208-7711458C2FE6}">
  <dimension ref="F2:G3"/>
  <sheetViews>
    <sheetView workbookViewId="0">
      <selection activeCell="H27" sqref="H27"/>
    </sheetView>
  </sheetViews>
  <sheetFormatPr defaultRowHeight="15" x14ac:dyDescent="0.25"/>
  <sheetData>
    <row r="2" spans="6:7" x14ac:dyDescent="0.25">
      <c r="F2" t="s">
        <v>43</v>
      </c>
      <c r="G2">
        <f>STANDARDIZE(87,80,5)</f>
        <v>1.4</v>
      </c>
    </row>
    <row r="3" spans="6:7" x14ac:dyDescent="0.25">
      <c r="F3" t="s">
        <v>44</v>
      </c>
      <c r="G3">
        <f>STANDARDIZE(82,73,6)</f>
        <v>1.5</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Hours Sleep</vt:lpstr>
      <vt:lpstr>MA215</vt:lpstr>
      <vt:lpstr>Student Absences</vt:lpstr>
      <vt:lpstr>Phone Calls</vt:lpstr>
      <vt:lpstr>Retirement</vt:lpstr>
      <vt:lpstr>Weight</vt:lpstr>
      <vt:lpstr>Speeds</vt:lpstr>
      <vt:lpstr>Z-Score</vt:lpstr>
      <vt:lpstr>Calc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Brehm</dc:creator>
  <cp:lastModifiedBy>wade eckert</cp:lastModifiedBy>
  <dcterms:created xsi:type="dcterms:W3CDTF">2020-06-24T19:25:41Z</dcterms:created>
  <dcterms:modified xsi:type="dcterms:W3CDTF">2025-03-19T23:58:50Z</dcterms:modified>
</cp:coreProperties>
</file>