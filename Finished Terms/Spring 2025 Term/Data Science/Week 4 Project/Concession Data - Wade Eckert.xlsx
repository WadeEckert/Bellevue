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OneDrive\Desktop\Spring 2025 Term\Data Science\Week 4 Project\"/>
    </mc:Choice>
  </mc:AlternateContent>
  <xr:revisionPtr revIDLastSave="0" documentId="13_ncr:1_{779F648B-597A-4F5F-83D6-63BD8B9216B1}" xr6:coauthVersionLast="47" xr6:coauthVersionMax="47" xr10:uidLastSave="{00000000-0000-0000-0000-000000000000}"/>
  <bookViews>
    <workbookView xWindow="-120" yWindow="-120" windowWidth="29040" windowHeight="15840" tabRatio="726" xr2:uid="{00000000-000D-0000-FFFF-FFFF00000000}"/>
  </bookViews>
  <sheets>
    <sheet name="Sales Transactions" sheetId="1" r:id="rId1"/>
    <sheet name="Item Look Up Table" sheetId="4" r:id="rId2"/>
  </sheets>
  <definedNames>
    <definedName name="_xlnm._FilterDatabase" localSheetId="0" hidden="1">'Sales Transactions'!$B$1:$D$200</definedName>
  </definedName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7" i="1" l="1"/>
  <c r="F121" i="1"/>
  <c r="F46" i="1"/>
  <c r="F148" i="1"/>
  <c r="F42" i="1"/>
  <c r="F189" i="1"/>
  <c r="F174" i="1"/>
  <c r="F158" i="1"/>
  <c r="F34" i="1"/>
  <c r="F31" i="1"/>
  <c r="F8" i="1"/>
  <c r="F5" i="1"/>
  <c r="M30" i="1" s="1"/>
  <c r="F83" i="1"/>
  <c r="F21" i="1"/>
  <c r="F182" i="1"/>
  <c r="F179" i="1"/>
  <c r="F155" i="1"/>
  <c r="F119" i="1"/>
  <c r="F114" i="1"/>
  <c r="F65" i="1"/>
  <c r="F64" i="1"/>
  <c r="F81" i="1"/>
  <c r="F48" i="1"/>
  <c r="F45" i="1"/>
  <c r="F15" i="1"/>
  <c r="F113" i="1"/>
  <c r="F107" i="1"/>
  <c r="F176" i="1"/>
  <c r="F118" i="1"/>
  <c r="F16" i="1"/>
  <c r="F147" i="1"/>
  <c r="F109" i="1"/>
  <c r="F108" i="1"/>
  <c r="F40" i="1"/>
  <c r="F194" i="1"/>
  <c r="F192" i="1"/>
  <c r="F191" i="1"/>
  <c r="F102" i="1"/>
  <c r="F96" i="1"/>
  <c r="F93" i="1"/>
  <c r="F28" i="1"/>
  <c r="F87" i="1"/>
  <c r="F4" i="1"/>
  <c r="F178" i="1"/>
  <c r="F157" i="1"/>
  <c r="F154" i="1"/>
  <c r="F116" i="1"/>
  <c r="F146" i="1"/>
  <c r="F112" i="1"/>
  <c r="F43" i="1"/>
  <c r="F141" i="1"/>
  <c r="F200" i="1"/>
  <c r="F199" i="1"/>
  <c r="F190" i="1"/>
  <c r="F161" i="1"/>
  <c r="F98" i="1"/>
  <c r="F10" i="1"/>
  <c r="F56" i="1"/>
  <c r="F54" i="1"/>
  <c r="F17" i="1"/>
  <c r="F51" i="1"/>
  <c r="F151" i="1"/>
  <c r="F149" i="1"/>
  <c r="F106" i="1"/>
  <c r="F61" i="1"/>
  <c r="F77" i="1"/>
  <c r="F11" i="1"/>
  <c r="F58" i="1"/>
  <c r="F75" i="1"/>
  <c r="F74" i="1"/>
  <c r="F92" i="1"/>
  <c r="F25" i="1"/>
  <c r="F122" i="1"/>
  <c r="F89" i="1"/>
  <c r="F53" i="1"/>
  <c r="F152" i="1"/>
  <c r="F79" i="1"/>
  <c r="F14" i="1"/>
  <c r="F196" i="1"/>
  <c r="F172" i="1"/>
  <c r="F165" i="1"/>
  <c r="F134" i="1"/>
  <c r="F132" i="1"/>
  <c r="F130" i="1"/>
  <c r="F91" i="1"/>
  <c r="F70" i="1"/>
  <c r="F24" i="1"/>
  <c r="F69" i="1"/>
  <c r="F145" i="1"/>
  <c r="F140" i="1"/>
  <c r="F198" i="1"/>
  <c r="F193" i="1"/>
  <c r="F185" i="1"/>
  <c r="F169" i="1"/>
  <c r="F164" i="1"/>
  <c r="F139" i="1"/>
  <c r="F137" i="1"/>
  <c r="F104" i="1"/>
  <c r="F120" i="1"/>
  <c r="F63" i="1"/>
  <c r="F76" i="1"/>
  <c r="F44" i="1"/>
  <c r="F188" i="1"/>
  <c r="F162" i="1"/>
  <c r="F138" i="1"/>
  <c r="F136" i="1"/>
  <c r="F103" i="1"/>
  <c r="F60" i="1"/>
  <c r="F9" i="1"/>
  <c r="F95" i="1"/>
  <c r="F72" i="1"/>
  <c r="F68" i="1"/>
  <c r="F19" i="1"/>
  <c r="F111" i="1"/>
  <c r="F62" i="1"/>
  <c r="F78" i="1"/>
  <c r="F41" i="1"/>
  <c r="F38" i="1"/>
  <c r="F184" i="1"/>
  <c r="F173" i="1"/>
  <c r="F171" i="1"/>
  <c r="F167" i="1"/>
  <c r="F100" i="1"/>
  <c r="F57" i="1"/>
  <c r="F125" i="1"/>
  <c r="F88" i="1"/>
  <c r="F85" i="1"/>
  <c r="F23" i="1"/>
  <c r="F3" i="1"/>
  <c r="F156" i="1"/>
  <c r="F115" i="1"/>
  <c r="F49" i="1"/>
  <c r="F150" i="1"/>
  <c r="F142" i="1"/>
  <c r="F186" i="1"/>
  <c r="F170" i="1"/>
  <c r="F163" i="1"/>
  <c r="F160" i="1"/>
  <c r="F59" i="1"/>
  <c r="F32" i="1"/>
  <c r="F129" i="1"/>
  <c r="F6" i="1"/>
  <c r="F86" i="1"/>
  <c r="F101" i="1"/>
  <c r="F37" i="1"/>
  <c r="F33" i="1"/>
  <c r="F128" i="1"/>
  <c r="F90" i="1"/>
  <c r="F30" i="1"/>
  <c r="F7" i="1"/>
  <c r="F127" i="1"/>
  <c r="F123" i="1"/>
  <c r="F52" i="1"/>
  <c r="F20" i="1"/>
  <c r="F180" i="1"/>
  <c r="F50" i="1"/>
  <c r="F47" i="1"/>
  <c r="F39" i="1"/>
  <c r="F143" i="1"/>
  <c r="F159" i="1"/>
  <c r="F105" i="1"/>
  <c r="F35" i="1"/>
  <c r="F94" i="1"/>
  <c r="F55" i="1"/>
  <c r="F29" i="1"/>
  <c r="F124" i="1"/>
  <c r="F22" i="1"/>
  <c r="F181" i="1"/>
  <c r="F175" i="1"/>
  <c r="F153" i="1"/>
  <c r="F110" i="1"/>
  <c r="F12" i="1"/>
  <c r="F197" i="1"/>
  <c r="F195" i="1"/>
  <c r="F187" i="1"/>
  <c r="F183" i="1"/>
  <c r="F99" i="1"/>
  <c r="F27" i="1"/>
  <c r="F26" i="1"/>
  <c r="F18" i="1"/>
  <c r="F177" i="1"/>
  <c r="F117" i="1"/>
  <c r="F66" i="1"/>
  <c r="F80" i="1"/>
  <c r="F13" i="1"/>
  <c r="F144" i="1"/>
  <c r="F168" i="1"/>
  <c r="F166" i="1"/>
  <c r="F135" i="1"/>
  <c r="F73" i="1"/>
  <c r="F36" i="1"/>
  <c r="F133" i="1"/>
  <c r="F131" i="1"/>
  <c r="F97" i="1"/>
  <c r="F71" i="1"/>
  <c r="F126" i="1"/>
  <c r="F84" i="1"/>
  <c r="F82" i="1"/>
  <c r="F67" i="1"/>
  <c r="F2" i="1"/>
  <c r="I7" i="1"/>
  <c r="E4" i="1"/>
  <c r="E17" i="1"/>
  <c r="E54" i="1"/>
  <c r="E53" i="1"/>
  <c r="E69" i="1"/>
  <c r="E19" i="1"/>
  <c r="E68" i="1"/>
  <c r="E3" i="1"/>
  <c r="E23" i="1"/>
  <c r="E85" i="1"/>
  <c r="E21" i="1"/>
  <c r="E83" i="1"/>
  <c r="E121" i="1"/>
  <c r="E46" i="1"/>
  <c r="E148" i="1"/>
  <c r="E42" i="1"/>
  <c r="E189" i="1"/>
  <c r="E174" i="1"/>
  <c r="E158" i="1"/>
  <c r="E34" i="1"/>
  <c r="E31" i="1"/>
  <c r="E8" i="1"/>
  <c r="E5" i="1"/>
  <c r="E182" i="1"/>
  <c r="E179" i="1"/>
  <c r="E155" i="1"/>
  <c r="E119" i="1"/>
  <c r="E114" i="1"/>
  <c r="E65" i="1"/>
  <c r="E64" i="1"/>
  <c r="E81" i="1"/>
  <c r="E48" i="1"/>
  <c r="E45" i="1"/>
  <c r="E15" i="1"/>
  <c r="E113" i="1"/>
  <c r="E107" i="1"/>
  <c r="E176" i="1"/>
  <c r="E118" i="1"/>
  <c r="E16" i="1"/>
  <c r="E147" i="1"/>
  <c r="E109" i="1"/>
  <c r="E108" i="1"/>
  <c r="E40" i="1"/>
  <c r="E194" i="1"/>
  <c r="E192" i="1"/>
  <c r="E191" i="1"/>
  <c r="E102" i="1"/>
  <c r="E96" i="1"/>
  <c r="E93" i="1"/>
  <c r="E28" i="1"/>
  <c r="E87" i="1"/>
  <c r="E178" i="1"/>
  <c r="E157" i="1"/>
  <c r="E154" i="1"/>
  <c r="E116" i="1"/>
  <c r="E146" i="1"/>
  <c r="E112" i="1"/>
  <c r="E43" i="1"/>
  <c r="E141" i="1"/>
  <c r="E200" i="1"/>
  <c r="E199" i="1"/>
  <c r="E190" i="1"/>
  <c r="E161" i="1"/>
  <c r="E98" i="1"/>
  <c r="E10" i="1"/>
  <c r="E56" i="1"/>
  <c r="E51" i="1"/>
  <c r="E151" i="1"/>
  <c r="E149" i="1"/>
  <c r="E106" i="1"/>
  <c r="E61" i="1"/>
  <c r="E77" i="1"/>
  <c r="E11" i="1"/>
  <c r="E58" i="1"/>
  <c r="E75" i="1"/>
  <c r="E74" i="1"/>
  <c r="E92" i="1"/>
  <c r="E25" i="1"/>
  <c r="E122" i="1"/>
  <c r="E89" i="1"/>
  <c r="E152" i="1"/>
  <c r="E79" i="1"/>
  <c r="E14" i="1"/>
  <c r="E196" i="1"/>
  <c r="E172" i="1"/>
  <c r="E165" i="1"/>
  <c r="E134" i="1"/>
  <c r="E132" i="1"/>
  <c r="E130" i="1"/>
  <c r="E91" i="1"/>
  <c r="E70" i="1"/>
  <c r="E24" i="1"/>
  <c r="E145" i="1"/>
  <c r="E140" i="1"/>
  <c r="E198" i="1"/>
  <c r="E193" i="1"/>
  <c r="E185" i="1"/>
  <c r="E169" i="1"/>
  <c r="E164" i="1"/>
  <c r="E139" i="1"/>
  <c r="E137" i="1"/>
  <c r="E104" i="1"/>
  <c r="E120" i="1"/>
  <c r="E63" i="1"/>
  <c r="E76" i="1"/>
  <c r="E44" i="1"/>
  <c r="E188" i="1"/>
  <c r="E162" i="1"/>
  <c r="E138" i="1"/>
  <c r="E136" i="1"/>
  <c r="E103" i="1"/>
  <c r="E60" i="1"/>
  <c r="E9" i="1"/>
  <c r="E95" i="1"/>
  <c r="E72" i="1"/>
  <c r="E111" i="1"/>
  <c r="E62" i="1"/>
  <c r="E78" i="1"/>
  <c r="E41" i="1"/>
  <c r="E38" i="1"/>
  <c r="E184" i="1"/>
  <c r="E173" i="1"/>
  <c r="E171" i="1"/>
  <c r="E167" i="1"/>
  <c r="E100" i="1"/>
  <c r="E57" i="1"/>
  <c r="E125" i="1"/>
  <c r="E88" i="1"/>
  <c r="E156" i="1"/>
  <c r="E115" i="1"/>
  <c r="E49" i="1"/>
  <c r="E150" i="1"/>
  <c r="E142" i="1"/>
  <c r="E186" i="1"/>
  <c r="E170" i="1"/>
  <c r="E163" i="1"/>
  <c r="E160" i="1"/>
  <c r="E59" i="1"/>
  <c r="E32" i="1"/>
  <c r="E129" i="1"/>
  <c r="E6" i="1"/>
  <c r="E86" i="1"/>
  <c r="E101" i="1"/>
  <c r="E37" i="1"/>
  <c r="E33" i="1"/>
  <c r="E128" i="1"/>
  <c r="E90" i="1"/>
  <c r="E30" i="1"/>
  <c r="E7" i="1"/>
  <c r="E127" i="1"/>
  <c r="E123" i="1"/>
  <c r="E52" i="1"/>
  <c r="E20" i="1"/>
  <c r="E180" i="1"/>
  <c r="E50" i="1"/>
  <c r="E47" i="1"/>
  <c r="E39" i="1"/>
  <c r="E143" i="1"/>
  <c r="E159" i="1"/>
  <c r="E105" i="1"/>
  <c r="E35" i="1"/>
  <c r="E94" i="1"/>
  <c r="E55" i="1"/>
  <c r="E29" i="1"/>
  <c r="E124" i="1"/>
  <c r="E22" i="1"/>
  <c r="E181" i="1"/>
  <c r="E175" i="1"/>
  <c r="E153" i="1"/>
  <c r="E110" i="1"/>
  <c r="E12" i="1"/>
  <c r="E197" i="1"/>
  <c r="E195" i="1"/>
  <c r="E187" i="1"/>
  <c r="E183" i="1"/>
  <c r="E99" i="1"/>
  <c r="E27" i="1"/>
  <c r="E26" i="1"/>
  <c r="E18" i="1"/>
  <c r="E177" i="1"/>
  <c r="E117" i="1"/>
  <c r="E66" i="1"/>
  <c r="E80" i="1"/>
  <c r="E13" i="1"/>
  <c r="E144" i="1"/>
  <c r="E168" i="1"/>
  <c r="E166" i="1"/>
  <c r="E135" i="1"/>
  <c r="E73" i="1"/>
  <c r="E36" i="1"/>
  <c r="E133" i="1"/>
  <c r="E131" i="1"/>
  <c r="E97" i="1"/>
  <c r="E71" i="1"/>
  <c r="E126" i="1"/>
  <c r="E84" i="1"/>
  <c r="E82" i="1"/>
  <c r="E67" i="1"/>
  <c r="E2" i="1"/>
  <c r="M18" i="1" l="1"/>
  <c r="M4" i="1"/>
  <c r="M19" i="1"/>
  <c r="M11" i="1"/>
  <c r="M23" i="1"/>
  <c r="M5" i="1"/>
  <c r="M26" i="1"/>
  <c r="M27" i="1"/>
  <c r="M28" i="1"/>
  <c r="M6" i="1"/>
  <c r="M8" i="1"/>
  <c r="M20" i="1"/>
  <c r="M21" i="1"/>
  <c r="M24" i="1"/>
  <c r="M25" i="1"/>
  <c r="M9" i="1"/>
  <c r="M10" i="1"/>
  <c r="M17" i="1"/>
  <c r="M22" i="1"/>
  <c r="M29" i="1"/>
  <c r="M3" i="1"/>
  <c r="I8" i="1"/>
  <c r="I20" i="1"/>
  <c r="I25" i="1"/>
  <c r="I19" i="1"/>
  <c r="I11" i="1"/>
  <c r="I27" i="1"/>
  <c r="I29" i="1"/>
  <c r="I22" i="1"/>
  <c r="I26" i="1"/>
  <c r="I5" i="1"/>
  <c r="I17" i="1"/>
  <c r="I18" i="1"/>
  <c r="I9" i="1"/>
  <c r="I10" i="1"/>
  <c r="I30" i="1"/>
  <c r="I28" i="1"/>
  <c r="I23" i="1"/>
  <c r="I6" i="1"/>
  <c r="I21" i="1"/>
  <c r="I24" i="1"/>
  <c r="I4" i="1"/>
  <c r="I3" i="1"/>
  <c r="M31" i="1" l="1"/>
  <c r="N18" i="1" s="1"/>
  <c r="M12" i="1"/>
  <c r="N3" i="1" s="1"/>
  <c r="N26" i="1"/>
  <c r="I12" i="1"/>
  <c r="J5" i="1" s="1"/>
  <c r="I31" i="1"/>
  <c r="J23" i="1" s="1"/>
  <c r="N20" i="1" l="1"/>
  <c r="N25" i="1"/>
  <c r="N19" i="1"/>
  <c r="N27" i="1"/>
  <c r="N24" i="1"/>
  <c r="N30" i="1"/>
  <c r="N21" i="1"/>
  <c r="N23" i="1"/>
  <c r="N22" i="1"/>
  <c r="N29" i="1"/>
  <c r="N17" i="1"/>
  <c r="N28" i="1"/>
  <c r="N7" i="1"/>
  <c r="N5" i="1"/>
  <c r="N8" i="1"/>
  <c r="N4" i="1"/>
  <c r="N9" i="1"/>
  <c r="N11" i="1"/>
  <c r="N6" i="1"/>
  <c r="N10" i="1"/>
  <c r="J3" i="1"/>
  <c r="J11" i="1"/>
  <c r="J10" i="1"/>
  <c r="J18" i="1"/>
  <c r="J8" i="1"/>
  <c r="J7" i="1"/>
  <c r="J9" i="1"/>
  <c r="J6" i="1"/>
  <c r="J4" i="1"/>
  <c r="J17" i="1"/>
  <c r="J25" i="1"/>
  <c r="J29" i="1"/>
  <c r="J19" i="1"/>
  <c r="J28" i="1"/>
  <c r="J22" i="1"/>
  <c r="J21" i="1"/>
  <c r="J20" i="1"/>
  <c r="J27" i="1"/>
  <c r="J30" i="1"/>
  <c r="J26" i="1"/>
  <c r="J24" i="1"/>
  <c r="N31" i="1" l="1"/>
  <c r="N12" i="1"/>
  <c r="J12" i="1"/>
  <c r="J31" i="1"/>
</calcChain>
</file>

<file path=xl/sharedStrings.xml><?xml version="1.0" encoding="utf-8"?>
<sst xmlns="http://schemas.openxmlformats.org/spreadsheetml/2006/main" count="489" uniqueCount="37">
  <si>
    <t>Item</t>
  </si>
  <si>
    <t>Category</t>
  </si>
  <si>
    <t>Hot Dog</t>
  </si>
  <si>
    <t>Hot Food</t>
  </si>
  <si>
    <t>Nachos</t>
  </si>
  <si>
    <t>Pizza</t>
  </si>
  <si>
    <t>Hamburger</t>
  </si>
  <si>
    <t>Popcorn</t>
  </si>
  <si>
    <t>Beer</t>
  </si>
  <si>
    <t>Soda</t>
  </si>
  <si>
    <t>Bottled Water</t>
  </si>
  <si>
    <t>Licorice Rope</t>
  </si>
  <si>
    <t>Chocolate Bar</t>
  </si>
  <si>
    <t>Gummy Bears</t>
  </si>
  <si>
    <t>Beverages</t>
  </si>
  <si>
    <t>Candy</t>
  </si>
  <si>
    <t>Ice Cream Sandwich</t>
  </si>
  <si>
    <t>Chocolate Dipped Cone</t>
  </si>
  <si>
    <t>Popsicle</t>
  </si>
  <si>
    <t>Frozen Treats</t>
  </si>
  <si>
    <t>Calories</t>
  </si>
  <si>
    <t>Date</t>
  </si>
  <si>
    <t>Cost of Goods Sold</t>
  </si>
  <si>
    <t>Sale Price</t>
  </si>
  <si>
    <t>Row Labels</t>
  </si>
  <si>
    <t>Grand Total</t>
  </si>
  <si>
    <t>Count</t>
  </si>
  <si>
    <t>Actual Profit</t>
  </si>
  <si>
    <t>Day:</t>
  </si>
  <si>
    <t>Total Profit:</t>
  </si>
  <si>
    <t>Total:</t>
  </si>
  <si>
    <t>Item:</t>
  </si>
  <si>
    <t>Percentage of Total Sales:</t>
  </si>
  <si>
    <t>Percentage of Sales by Day:</t>
  </si>
  <si>
    <t>Total Calories:</t>
  </si>
  <si>
    <t>Percentage by Day:</t>
  </si>
  <si>
    <t>Percentage by Item: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</si>
</sst>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9" fontId="0" fillId="0" borderId="0" xfId="2" applyFont="1"/>
    <xf numFmtId="44" fontId="0" fillId="0" borderId="0" xfId="1" applyFont="1"/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2" borderId="2" xfId="0" applyFont="1" applyFill="1" applyBorder="1"/>
    <xf numFmtId="0" fontId="4" fillId="2" borderId="0" xfId="0" applyFont="1" applyFill="1"/>
    <xf numFmtId="0" fontId="0" fillId="0" borderId="3" xfId="0" applyBorder="1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left"/>
    </xf>
    <xf numFmtId="10" fontId="0" fillId="0" borderId="0" xfId="0" applyNumberFormat="1"/>
    <xf numFmtId="10" fontId="0" fillId="0" borderId="1" xfId="0" applyNumberFormat="1" applyBorder="1"/>
    <xf numFmtId="3" fontId="0" fillId="0" borderId="0" xfId="0" applyNumberFormat="1" applyAlignment="1">
      <alignment horizontal="center"/>
    </xf>
    <xf numFmtId="3" fontId="0" fillId="0" borderId="0" xfId="1" applyNumberFormat="1" applyFont="1"/>
    <xf numFmtId="3" fontId="0" fillId="0" borderId="0" xfId="0" applyNumberFormat="1"/>
    <xf numFmtId="3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4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de Eckert" refreshedDate="45752.030589351853" createdVersion="8" refreshedVersion="8" minRefreshableVersion="3" recordCount="201" xr:uid="{6D1766CD-BB42-4584-BF81-5D1AAE973C4B}">
  <cacheSource type="worksheet">
    <worksheetSource ref="B1:B1048576" sheet="Sales Transactions"/>
  </cacheSource>
  <cacheFields count="1">
    <cacheField name="Item" numFmtId="0">
      <sharedItems containsBlank="1" count="15">
        <s v="Beer"/>
        <s v="Hamburger"/>
        <s v="Popcorn"/>
        <s v="Pizza"/>
        <s v="Bottled Water"/>
        <s v="Hot Dog"/>
        <s v="Chocolate Dipped Cone"/>
        <s v="Soda"/>
        <s v="Chocolate Bar"/>
        <s v="Licorice Rope"/>
        <s v="Nachos"/>
        <s v="Gummy Bears"/>
        <s v="Ice Cream Sandwich"/>
        <s v="Popsic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de Eckert" refreshedDate="45752.031055555555" createdVersion="8" refreshedVersion="8" minRefreshableVersion="3" recordCount="201" xr:uid="{AB45E498-E0CD-41ED-B5FD-28CC89BF2683}">
  <cacheSource type="worksheet">
    <worksheetSource ref="C1:C1048576" sheet="Sales Transactions"/>
  </cacheSource>
  <cacheFields count="1">
    <cacheField name="Category" numFmtId="0">
      <sharedItems containsBlank="1" count="5">
        <s v="Beverages"/>
        <s v="Hot Food"/>
        <s v="Frozen Treats"/>
        <s v="Cand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</r>
  <r>
    <x v="1"/>
  </r>
  <r>
    <x v="2"/>
  </r>
  <r>
    <x v="3"/>
  </r>
  <r>
    <x v="4"/>
  </r>
  <r>
    <x v="5"/>
  </r>
  <r>
    <x v="6"/>
  </r>
  <r>
    <x v="7"/>
  </r>
  <r>
    <x v="8"/>
  </r>
  <r>
    <x v="1"/>
  </r>
  <r>
    <x v="0"/>
  </r>
  <r>
    <x v="5"/>
  </r>
  <r>
    <x v="9"/>
  </r>
  <r>
    <x v="6"/>
  </r>
  <r>
    <x v="10"/>
  </r>
  <r>
    <x v="3"/>
  </r>
  <r>
    <x v="0"/>
  </r>
  <r>
    <x v="7"/>
  </r>
  <r>
    <x v="0"/>
  </r>
  <r>
    <x v="1"/>
  </r>
  <r>
    <x v="11"/>
  </r>
  <r>
    <x v="2"/>
  </r>
  <r>
    <x v="1"/>
  </r>
  <r>
    <x v="10"/>
  </r>
  <r>
    <x v="10"/>
  </r>
  <r>
    <x v="6"/>
  </r>
  <r>
    <x v="8"/>
  </r>
  <r>
    <x v="1"/>
  </r>
  <r>
    <x v="0"/>
  </r>
  <r>
    <x v="6"/>
  </r>
  <r>
    <x v="7"/>
  </r>
  <r>
    <x v="11"/>
  </r>
  <r>
    <x v="6"/>
  </r>
  <r>
    <x v="9"/>
  </r>
  <r>
    <x v="10"/>
  </r>
  <r>
    <x v="4"/>
  </r>
  <r>
    <x v="4"/>
  </r>
  <r>
    <x v="2"/>
  </r>
  <r>
    <x v="8"/>
  </r>
  <r>
    <x v="6"/>
  </r>
  <r>
    <x v="9"/>
  </r>
  <r>
    <x v="0"/>
  </r>
  <r>
    <x v="5"/>
  </r>
  <r>
    <x v="8"/>
  </r>
  <r>
    <x v="3"/>
  </r>
  <r>
    <x v="1"/>
  </r>
  <r>
    <x v="6"/>
  </r>
  <r>
    <x v="9"/>
  </r>
  <r>
    <x v="10"/>
  </r>
  <r>
    <x v="2"/>
  </r>
  <r>
    <x v="8"/>
  </r>
  <r>
    <x v="5"/>
  </r>
  <r>
    <x v="2"/>
  </r>
  <r>
    <x v="0"/>
  </r>
  <r>
    <x v="6"/>
  </r>
  <r>
    <x v="11"/>
  </r>
  <r>
    <x v="9"/>
  </r>
  <r>
    <x v="0"/>
  </r>
  <r>
    <x v="9"/>
  </r>
  <r>
    <x v="0"/>
  </r>
  <r>
    <x v="7"/>
  </r>
  <r>
    <x v="5"/>
  </r>
  <r>
    <x v="3"/>
  </r>
  <r>
    <x v="7"/>
  </r>
  <r>
    <x v="11"/>
  </r>
  <r>
    <x v="6"/>
  </r>
  <r>
    <x v="7"/>
  </r>
  <r>
    <x v="8"/>
  </r>
  <r>
    <x v="0"/>
  </r>
  <r>
    <x v="6"/>
  </r>
  <r>
    <x v="0"/>
  </r>
  <r>
    <x v="10"/>
  </r>
  <r>
    <x v="10"/>
  </r>
  <r>
    <x v="10"/>
  </r>
  <r>
    <x v="11"/>
  </r>
  <r>
    <x v="5"/>
  </r>
  <r>
    <x v="3"/>
  </r>
  <r>
    <x v="4"/>
  </r>
  <r>
    <x v="1"/>
  </r>
  <r>
    <x v="6"/>
  </r>
  <r>
    <x v="2"/>
  </r>
  <r>
    <x v="5"/>
  </r>
  <r>
    <x v="12"/>
  </r>
  <r>
    <x v="8"/>
  </r>
  <r>
    <x v="9"/>
  </r>
  <r>
    <x v="0"/>
  </r>
  <r>
    <x v="5"/>
  </r>
  <r>
    <x v="12"/>
  </r>
  <r>
    <x v="5"/>
  </r>
  <r>
    <x v="12"/>
  </r>
  <r>
    <x v="7"/>
  </r>
  <r>
    <x v="8"/>
  </r>
  <r>
    <x v="11"/>
  </r>
  <r>
    <x v="3"/>
  </r>
  <r>
    <x v="5"/>
  </r>
  <r>
    <x v="11"/>
  </r>
  <r>
    <x v="12"/>
  </r>
  <r>
    <x v="9"/>
  </r>
  <r>
    <x v="0"/>
  </r>
  <r>
    <x v="1"/>
  </r>
  <r>
    <x v="0"/>
  </r>
  <r>
    <x v="12"/>
  </r>
  <r>
    <x v="11"/>
  </r>
  <r>
    <x v="1"/>
  </r>
  <r>
    <x v="9"/>
  </r>
  <r>
    <x v="1"/>
  </r>
  <r>
    <x v="7"/>
  </r>
  <r>
    <x v="4"/>
  </r>
  <r>
    <x v="1"/>
  </r>
  <r>
    <x v="12"/>
  </r>
  <r>
    <x v="11"/>
  </r>
  <r>
    <x v="4"/>
  </r>
  <r>
    <x v="5"/>
  </r>
  <r>
    <x v="7"/>
  </r>
  <r>
    <x v="3"/>
  </r>
  <r>
    <x v="2"/>
  </r>
  <r>
    <x v="2"/>
  </r>
  <r>
    <x v="12"/>
  </r>
  <r>
    <x v="2"/>
  </r>
  <r>
    <x v="4"/>
  </r>
  <r>
    <x v="9"/>
  </r>
  <r>
    <x v="4"/>
  </r>
  <r>
    <x v="12"/>
  </r>
  <r>
    <x v="3"/>
  </r>
  <r>
    <x v="3"/>
  </r>
  <r>
    <x v="12"/>
  </r>
  <r>
    <x v="3"/>
  </r>
  <r>
    <x v="11"/>
  </r>
  <r>
    <x v="8"/>
  </r>
  <r>
    <x v="0"/>
  </r>
  <r>
    <x v="12"/>
  </r>
  <r>
    <x v="10"/>
  </r>
  <r>
    <x v="4"/>
  </r>
  <r>
    <x v="0"/>
  </r>
  <r>
    <x v="1"/>
  </r>
  <r>
    <x v="8"/>
  </r>
  <r>
    <x v="2"/>
  </r>
  <r>
    <x v="1"/>
  </r>
  <r>
    <x v="7"/>
  </r>
  <r>
    <x v="3"/>
  </r>
  <r>
    <x v="5"/>
  </r>
  <r>
    <x v="5"/>
  </r>
  <r>
    <x v="10"/>
  </r>
  <r>
    <x v="1"/>
  </r>
  <r>
    <x v="10"/>
  </r>
  <r>
    <x v="1"/>
  </r>
  <r>
    <x v="5"/>
  </r>
  <r>
    <x v="10"/>
  </r>
  <r>
    <x v="13"/>
  </r>
  <r>
    <x v="2"/>
  </r>
  <r>
    <x v="2"/>
  </r>
  <r>
    <x v="4"/>
  </r>
  <r>
    <x v="1"/>
  </r>
  <r>
    <x v="3"/>
  </r>
  <r>
    <x v="13"/>
  </r>
  <r>
    <x v="3"/>
  </r>
  <r>
    <x v="2"/>
  </r>
  <r>
    <x v="7"/>
  </r>
  <r>
    <x v="10"/>
  </r>
  <r>
    <x v="11"/>
  </r>
  <r>
    <x v="10"/>
  </r>
  <r>
    <x v="9"/>
  </r>
  <r>
    <x v="13"/>
  </r>
  <r>
    <x v="2"/>
  </r>
  <r>
    <x v="13"/>
  </r>
  <r>
    <x v="7"/>
  </r>
  <r>
    <x v="8"/>
  </r>
  <r>
    <x v="13"/>
  </r>
  <r>
    <x v="11"/>
  </r>
  <r>
    <x v="8"/>
  </r>
  <r>
    <x v="10"/>
  </r>
  <r>
    <x v="9"/>
  </r>
  <r>
    <x v="0"/>
  </r>
  <r>
    <x v="13"/>
  </r>
  <r>
    <x v="13"/>
  </r>
  <r>
    <x v="13"/>
  </r>
  <r>
    <x v="0"/>
  </r>
  <r>
    <x v="13"/>
  </r>
  <r>
    <x v="11"/>
  </r>
  <r>
    <x v="3"/>
  </r>
  <r>
    <x v="0"/>
  </r>
  <r>
    <x v="2"/>
  </r>
  <r>
    <x v="13"/>
  </r>
  <r>
    <x v="5"/>
  </r>
  <r>
    <x v="7"/>
  </r>
  <r>
    <x v="9"/>
  </r>
  <r>
    <x v="4"/>
  </r>
  <r>
    <x v="3"/>
  </r>
  <r>
    <x v="13"/>
  </r>
  <r>
    <x v="11"/>
  </r>
  <r>
    <x v="3"/>
  </r>
  <r>
    <x v="4"/>
  </r>
  <r>
    <x v="2"/>
  </r>
  <r>
    <x v="0"/>
  </r>
  <r>
    <x v="3"/>
  </r>
  <r>
    <x v="13"/>
  </r>
  <r>
    <x v="8"/>
  </r>
  <r>
    <x v="4"/>
  </r>
  <r>
    <x v="13"/>
  </r>
  <r>
    <x v="14"/>
  </r>
  <r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</r>
  <r>
    <x v="1"/>
  </r>
  <r>
    <x v="1"/>
  </r>
  <r>
    <x v="1"/>
  </r>
  <r>
    <x v="0"/>
  </r>
  <r>
    <x v="1"/>
  </r>
  <r>
    <x v="2"/>
  </r>
  <r>
    <x v="0"/>
  </r>
  <r>
    <x v="3"/>
  </r>
  <r>
    <x v="1"/>
  </r>
  <r>
    <x v="0"/>
  </r>
  <r>
    <x v="1"/>
  </r>
  <r>
    <x v="3"/>
  </r>
  <r>
    <x v="2"/>
  </r>
  <r>
    <x v="1"/>
  </r>
  <r>
    <x v="1"/>
  </r>
  <r>
    <x v="0"/>
  </r>
  <r>
    <x v="0"/>
  </r>
  <r>
    <x v="0"/>
  </r>
  <r>
    <x v="1"/>
  </r>
  <r>
    <x v="3"/>
  </r>
  <r>
    <x v="1"/>
  </r>
  <r>
    <x v="1"/>
  </r>
  <r>
    <x v="1"/>
  </r>
  <r>
    <x v="1"/>
  </r>
  <r>
    <x v="2"/>
  </r>
  <r>
    <x v="3"/>
  </r>
  <r>
    <x v="1"/>
  </r>
  <r>
    <x v="0"/>
  </r>
  <r>
    <x v="2"/>
  </r>
  <r>
    <x v="0"/>
  </r>
  <r>
    <x v="3"/>
  </r>
  <r>
    <x v="2"/>
  </r>
  <r>
    <x v="3"/>
  </r>
  <r>
    <x v="1"/>
  </r>
  <r>
    <x v="0"/>
  </r>
  <r>
    <x v="0"/>
  </r>
  <r>
    <x v="1"/>
  </r>
  <r>
    <x v="3"/>
  </r>
  <r>
    <x v="2"/>
  </r>
  <r>
    <x v="3"/>
  </r>
  <r>
    <x v="0"/>
  </r>
  <r>
    <x v="1"/>
  </r>
  <r>
    <x v="3"/>
  </r>
  <r>
    <x v="1"/>
  </r>
  <r>
    <x v="1"/>
  </r>
  <r>
    <x v="2"/>
  </r>
  <r>
    <x v="3"/>
  </r>
  <r>
    <x v="1"/>
  </r>
  <r>
    <x v="1"/>
  </r>
  <r>
    <x v="3"/>
  </r>
  <r>
    <x v="1"/>
  </r>
  <r>
    <x v="1"/>
  </r>
  <r>
    <x v="0"/>
  </r>
  <r>
    <x v="2"/>
  </r>
  <r>
    <x v="3"/>
  </r>
  <r>
    <x v="3"/>
  </r>
  <r>
    <x v="0"/>
  </r>
  <r>
    <x v="3"/>
  </r>
  <r>
    <x v="0"/>
  </r>
  <r>
    <x v="0"/>
  </r>
  <r>
    <x v="1"/>
  </r>
  <r>
    <x v="1"/>
  </r>
  <r>
    <x v="0"/>
  </r>
  <r>
    <x v="3"/>
  </r>
  <r>
    <x v="2"/>
  </r>
  <r>
    <x v="0"/>
  </r>
  <r>
    <x v="3"/>
  </r>
  <r>
    <x v="0"/>
  </r>
  <r>
    <x v="2"/>
  </r>
  <r>
    <x v="0"/>
  </r>
  <r>
    <x v="1"/>
  </r>
  <r>
    <x v="1"/>
  </r>
  <r>
    <x v="1"/>
  </r>
  <r>
    <x v="3"/>
  </r>
  <r>
    <x v="1"/>
  </r>
  <r>
    <x v="1"/>
  </r>
  <r>
    <x v="0"/>
  </r>
  <r>
    <x v="1"/>
  </r>
  <r>
    <x v="2"/>
  </r>
  <r>
    <x v="1"/>
  </r>
  <r>
    <x v="1"/>
  </r>
  <r>
    <x v="2"/>
  </r>
  <r>
    <x v="3"/>
  </r>
  <r>
    <x v="3"/>
  </r>
  <r>
    <x v="0"/>
  </r>
  <r>
    <x v="1"/>
  </r>
  <r>
    <x v="2"/>
  </r>
  <r>
    <x v="1"/>
  </r>
  <r>
    <x v="2"/>
  </r>
  <r>
    <x v="0"/>
  </r>
  <r>
    <x v="3"/>
  </r>
  <r>
    <x v="3"/>
  </r>
  <r>
    <x v="1"/>
  </r>
  <r>
    <x v="1"/>
  </r>
  <r>
    <x v="3"/>
  </r>
  <r>
    <x v="2"/>
  </r>
  <r>
    <x v="3"/>
  </r>
  <r>
    <x v="0"/>
  </r>
  <r>
    <x v="1"/>
  </r>
  <r>
    <x v="0"/>
  </r>
  <r>
    <x v="2"/>
  </r>
  <r>
    <x v="3"/>
  </r>
  <r>
    <x v="1"/>
  </r>
  <r>
    <x v="3"/>
  </r>
  <r>
    <x v="1"/>
  </r>
  <r>
    <x v="0"/>
  </r>
  <r>
    <x v="0"/>
  </r>
  <r>
    <x v="1"/>
  </r>
  <r>
    <x v="2"/>
  </r>
  <r>
    <x v="3"/>
  </r>
  <r>
    <x v="0"/>
  </r>
  <r>
    <x v="1"/>
  </r>
  <r>
    <x v="0"/>
  </r>
  <r>
    <x v="1"/>
  </r>
  <r>
    <x v="1"/>
  </r>
  <r>
    <x v="1"/>
  </r>
  <r>
    <x v="2"/>
  </r>
  <r>
    <x v="1"/>
  </r>
  <r>
    <x v="0"/>
  </r>
  <r>
    <x v="3"/>
  </r>
  <r>
    <x v="0"/>
  </r>
  <r>
    <x v="2"/>
  </r>
  <r>
    <x v="1"/>
  </r>
  <r>
    <x v="1"/>
  </r>
  <r>
    <x v="2"/>
  </r>
  <r>
    <x v="1"/>
  </r>
  <r>
    <x v="3"/>
  </r>
  <r>
    <x v="3"/>
  </r>
  <r>
    <x v="0"/>
  </r>
  <r>
    <x v="2"/>
  </r>
  <r>
    <x v="1"/>
  </r>
  <r>
    <x v="0"/>
  </r>
  <r>
    <x v="0"/>
  </r>
  <r>
    <x v="1"/>
  </r>
  <r>
    <x v="3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1"/>
  </r>
  <r>
    <x v="1"/>
  </r>
  <r>
    <x v="0"/>
  </r>
  <r>
    <x v="1"/>
  </r>
  <r>
    <x v="3"/>
  </r>
  <r>
    <x v="1"/>
  </r>
  <r>
    <x v="3"/>
  </r>
  <r>
    <x v="2"/>
  </r>
  <r>
    <x v="1"/>
  </r>
  <r>
    <x v="2"/>
  </r>
  <r>
    <x v="0"/>
  </r>
  <r>
    <x v="3"/>
  </r>
  <r>
    <x v="2"/>
  </r>
  <r>
    <x v="3"/>
  </r>
  <r>
    <x v="3"/>
  </r>
  <r>
    <x v="1"/>
  </r>
  <r>
    <x v="3"/>
  </r>
  <r>
    <x v="0"/>
  </r>
  <r>
    <x v="2"/>
  </r>
  <r>
    <x v="2"/>
  </r>
  <r>
    <x v="2"/>
  </r>
  <r>
    <x v="0"/>
  </r>
  <r>
    <x v="2"/>
  </r>
  <r>
    <x v="3"/>
  </r>
  <r>
    <x v="1"/>
  </r>
  <r>
    <x v="0"/>
  </r>
  <r>
    <x v="1"/>
  </r>
  <r>
    <x v="2"/>
  </r>
  <r>
    <x v="1"/>
  </r>
  <r>
    <x v="0"/>
  </r>
  <r>
    <x v="3"/>
  </r>
  <r>
    <x v="0"/>
  </r>
  <r>
    <x v="1"/>
  </r>
  <r>
    <x v="2"/>
  </r>
  <r>
    <x v="3"/>
  </r>
  <r>
    <x v="1"/>
  </r>
  <r>
    <x v="0"/>
  </r>
  <r>
    <x v="1"/>
  </r>
  <r>
    <x v="0"/>
  </r>
  <r>
    <x v="1"/>
  </r>
  <r>
    <x v="2"/>
  </r>
  <r>
    <x v="3"/>
  </r>
  <r>
    <x v="0"/>
  </r>
  <r>
    <x v="2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574DE-8DF0-4A37-A2E0-E6F621463A9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20:Q25" firstHeaderRow="1" firstDataRow="1" firstDataCol="1"/>
  <pivotFields count="1">
    <pivotField axis="axisRow" dataField="1" showAll="0">
      <items count="6">
        <item x="0"/>
        <item x="3"/>
        <item x="2"/>
        <item x="1"/>
        <item h="1" x="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A6FDB-015E-4DE1-A3AF-13D0FA1316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2:Q17" firstHeaderRow="1" firstDataRow="1" firstDataCol="1"/>
  <pivotFields count="1">
    <pivotField axis="axisRow" dataField="1" showAll="0">
      <items count="16">
        <item x="0"/>
        <item x="4"/>
        <item x="8"/>
        <item x="6"/>
        <item x="11"/>
        <item x="1"/>
        <item x="5"/>
        <item x="12"/>
        <item x="9"/>
        <item x="10"/>
        <item x="3"/>
        <item x="2"/>
        <item x="13"/>
        <item x="7"/>
        <item h="1" x="14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tabSelected="1" workbookViewId="0">
      <pane ySplit="1" topLeftCell="A2" activePane="bottomLeft" state="frozen"/>
      <selection pane="bottomLeft" activeCell="L32" sqref="L32"/>
    </sheetView>
  </sheetViews>
  <sheetFormatPr defaultColWidth="11" defaultRowHeight="15.75" x14ac:dyDescent="0.25"/>
  <cols>
    <col min="1" max="1" width="12" style="3" customWidth="1"/>
    <col min="2" max="2" width="21.75" style="5" customWidth="1"/>
    <col min="3" max="3" width="15" style="5" customWidth="1"/>
    <col min="4" max="5" width="11" style="12"/>
    <col min="6" max="6" width="11" style="20"/>
    <col min="8" max="8" width="20.125" bestFit="1" customWidth="1"/>
    <col min="9" max="9" width="11.375" bestFit="1" customWidth="1"/>
    <col min="10" max="10" width="23.75" bestFit="1" customWidth="1"/>
    <col min="11" max="11" width="14.625" customWidth="1"/>
    <col min="12" max="12" width="20.125" bestFit="1" customWidth="1"/>
    <col min="13" max="13" width="14" customWidth="1"/>
    <col min="14" max="14" width="16.625" bestFit="1" customWidth="1"/>
    <col min="16" max="16" width="20.125" bestFit="1" customWidth="1"/>
    <col min="17" max="17" width="5.625" bestFit="1" customWidth="1"/>
  </cols>
  <sheetData>
    <row r="1" spans="1:17" x14ac:dyDescent="0.25">
      <c r="A1" s="3" t="s">
        <v>21</v>
      </c>
      <c r="B1" s="4" t="s">
        <v>0</v>
      </c>
      <c r="C1" s="4" t="s">
        <v>1</v>
      </c>
      <c r="D1" s="13" t="s">
        <v>23</v>
      </c>
      <c r="E1" s="14" t="s">
        <v>27</v>
      </c>
      <c r="F1" s="18" t="s">
        <v>20</v>
      </c>
    </row>
    <row r="2" spans="1:17" x14ac:dyDescent="0.25">
      <c r="A2" s="3">
        <v>44562</v>
      </c>
      <c r="B2" s="5" t="s">
        <v>8</v>
      </c>
      <c r="C2" s="5" t="s">
        <v>14</v>
      </c>
      <c r="D2" s="11">
        <v>4</v>
      </c>
      <c r="E2" s="11">
        <f>D2-VLOOKUP('Item Look Up Table'!$A$2,'Item Look Up Table'!$A$2:$B$15,2,FALSE)</f>
        <v>2</v>
      </c>
      <c r="F2" s="19">
        <f>VLOOKUP('Item Look Up Table'!$A$2,'Item Look Up Table'!$A$1:$C$15,3,FALSE)</f>
        <v>200</v>
      </c>
      <c r="H2" s="8" t="s">
        <v>28</v>
      </c>
      <c r="I2" s="8" t="s">
        <v>29</v>
      </c>
      <c r="J2" s="8" t="s">
        <v>33</v>
      </c>
      <c r="L2" s="9" t="s">
        <v>28</v>
      </c>
      <c r="M2" s="9" t="s">
        <v>34</v>
      </c>
      <c r="N2" s="9" t="s">
        <v>35</v>
      </c>
      <c r="P2" s="6" t="s">
        <v>24</v>
      </c>
      <c r="Q2" t="s">
        <v>26</v>
      </c>
    </row>
    <row r="3" spans="1:17" x14ac:dyDescent="0.25">
      <c r="A3" s="3">
        <v>44562</v>
      </c>
      <c r="B3" s="5" t="s">
        <v>6</v>
      </c>
      <c r="C3" s="5" t="s">
        <v>3</v>
      </c>
      <c r="D3" s="11">
        <v>3</v>
      </c>
      <c r="E3" s="11">
        <f>D3-VLOOKUP('Item Look Up Table'!$A$7,'Item Look Up Table'!$A$2:$B$15,2,FALSE)</f>
        <v>1.5</v>
      </c>
      <c r="F3" s="19">
        <f>VLOOKUP('Item Look Up Table'!$A$7,'Item Look Up Table'!$A$1:$C$15,3,FALSE)</f>
        <v>320</v>
      </c>
      <c r="H3" s="3">
        <v>44562</v>
      </c>
      <c r="I3" s="12">
        <f>SUMIFS(E:E,A:A,"&lt;="&amp;"1/1/2022",A:A,"&gt;="&amp;"1/1/2022")</f>
        <v>28</v>
      </c>
      <c r="J3" s="16">
        <f>I3/$I$12</f>
        <v>8.6687306501547989E-2</v>
      </c>
      <c r="L3" s="3">
        <v>44562</v>
      </c>
      <c r="M3" s="20">
        <f>SUMIFS(F:F,A:A,"&lt;="&amp;"1/1/2022",A:A,"&gt;="&amp;"1/1/2022")</f>
        <v>4295</v>
      </c>
      <c r="N3" s="16">
        <f>M3/$M$12</f>
        <v>7.4026197862805926E-2</v>
      </c>
      <c r="P3" s="7" t="s">
        <v>8</v>
      </c>
      <c r="Q3">
        <v>20</v>
      </c>
    </row>
    <row r="4" spans="1:17" x14ac:dyDescent="0.25">
      <c r="A4" s="3">
        <v>44562</v>
      </c>
      <c r="B4" s="5" t="s">
        <v>7</v>
      </c>
      <c r="C4" s="5" t="s">
        <v>3</v>
      </c>
      <c r="D4" s="11">
        <v>5</v>
      </c>
      <c r="E4" s="11">
        <f>D4-VLOOKUP('Item Look Up Table'!$A$13,'Item Look Up Table'!$A$2:$B$15,2,FALSE)</f>
        <v>4.5</v>
      </c>
      <c r="F4" s="19">
        <f>VLOOKUP('Item Look Up Table'!$A$13,'Item Look Up Table'!$A$1:$C$15,3,FALSE)</f>
        <v>500</v>
      </c>
      <c r="H4" s="3">
        <v>44563</v>
      </c>
      <c r="I4" s="12">
        <f>SUMIFS(E:E,A:A,"&lt;="&amp;"1/2/2022",A:A,"&gt;="&amp;"1/2/2022")</f>
        <v>55.5</v>
      </c>
      <c r="J4" s="16">
        <f t="shared" ref="J4:J11" si="0">I4/$I$12</f>
        <v>0.17182662538699692</v>
      </c>
      <c r="L4" s="3">
        <v>44563</v>
      </c>
      <c r="M4" s="20">
        <f>SUMIFS(F:F,A:A,"&lt;="&amp;"1/2/2022",A:A,"&gt;="&amp;"1/2/2022")</f>
        <v>9280</v>
      </c>
      <c r="N4" s="16">
        <f t="shared" ref="N4:N11" si="1">M4/$M$12</f>
        <v>0.15994484660461911</v>
      </c>
      <c r="P4" s="7" t="s">
        <v>10</v>
      </c>
      <c r="Q4">
        <v>13</v>
      </c>
    </row>
    <row r="5" spans="1:17" x14ac:dyDescent="0.25">
      <c r="A5" s="3">
        <v>44562</v>
      </c>
      <c r="B5" s="5" t="s">
        <v>9</v>
      </c>
      <c r="C5" s="5" t="s">
        <v>14</v>
      </c>
      <c r="D5" s="11">
        <v>2.5</v>
      </c>
      <c r="E5" s="11">
        <f>D5-VLOOKUP('Item Look Up Table'!$A$15,'Item Look Up Table'!$A$2:$B$15,2,FALSE)</f>
        <v>1.5</v>
      </c>
      <c r="F5" s="19">
        <f>VLOOKUP('Item Look Up Table'!$A$15,'Item Look Up Table'!$A$1:$C$15,3,FALSE)</f>
        <v>120</v>
      </c>
      <c r="H5" s="3">
        <v>44564</v>
      </c>
      <c r="I5" s="12">
        <f>SUMIFS(E:E,A:A,"&lt;="&amp;"1/3/2022",A:A,"&gt;="&amp;"1/3/2022")</f>
        <v>18.5</v>
      </c>
      <c r="J5" s="16">
        <f t="shared" si="0"/>
        <v>5.7275541795665637E-2</v>
      </c>
      <c r="L5" s="3">
        <v>44564</v>
      </c>
      <c r="M5" s="20">
        <f>SUMIFS(F:F,A:A,"&lt;="&amp;"1/3/2022",A:A,"&gt;="&amp;"1/3/2022")</f>
        <v>5165</v>
      </c>
      <c r="N5" s="16">
        <f t="shared" si="1"/>
        <v>8.9021027231988972E-2</v>
      </c>
      <c r="P5" s="7" t="s">
        <v>12</v>
      </c>
      <c r="Q5">
        <v>13</v>
      </c>
    </row>
    <row r="6" spans="1:17" x14ac:dyDescent="0.25">
      <c r="A6" s="3">
        <v>44562</v>
      </c>
      <c r="B6" s="5" t="s">
        <v>13</v>
      </c>
      <c r="C6" s="5" t="s">
        <v>15</v>
      </c>
      <c r="D6" s="11">
        <v>2</v>
      </c>
      <c r="E6" s="11">
        <f>D6-VLOOKUP('Item Look Up Table'!$A$6,'Item Look Up Table'!$A$2:B$15,2,FALSE)</f>
        <v>0</v>
      </c>
      <c r="F6" s="19">
        <f>VLOOKUP('Item Look Up Table'!$A$6,'Item Look Up Table'!$A$1:$C$15,3,FALSE)</f>
        <v>300</v>
      </c>
      <c r="H6" s="3">
        <v>44565</v>
      </c>
      <c r="I6" s="12">
        <f>SUMIFS(E:E,A:A,"&lt;="&amp;"1/4/2022",A:A,"&gt;="&amp;"1/4/2022")</f>
        <v>19.5</v>
      </c>
      <c r="J6" s="16">
        <f t="shared" si="0"/>
        <v>6.037151702786378E-2</v>
      </c>
      <c r="L6" s="3">
        <v>44565</v>
      </c>
      <c r="M6" s="20">
        <f>SUMIFS(F:F,A:A,"&lt;="&amp;"1/4/2022",A:A,"&gt;="&amp;"1/4/2022")</f>
        <v>4585</v>
      </c>
      <c r="N6" s="16">
        <f t="shared" si="1"/>
        <v>7.9024474319200275E-2</v>
      </c>
      <c r="P6" s="7" t="s">
        <v>17</v>
      </c>
      <c r="Q6">
        <v>11</v>
      </c>
    </row>
    <row r="7" spans="1:17" x14ac:dyDescent="0.25">
      <c r="A7" s="3">
        <v>44562</v>
      </c>
      <c r="B7" s="5" t="s">
        <v>17</v>
      </c>
      <c r="C7" s="5" t="s">
        <v>19</v>
      </c>
      <c r="D7" s="11">
        <v>3</v>
      </c>
      <c r="E7" s="11">
        <f>D7-VLOOKUP('Item Look Up Table'!$A$5,'Item Look Up Table'!$A$2:B$15,2,FALSE)</f>
        <v>2</v>
      </c>
      <c r="F7" s="19">
        <f>VLOOKUP('Item Look Up Table'!$A$5,'Item Look Up Table'!$A$1:$C$15,3,FALSE)</f>
        <v>300</v>
      </c>
      <c r="H7" s="3">
        <v>44566</v>
      </c>
      <c r="I7" s="12">
        <f>SUMIFS(E:E,A:A,"&lt;="&amp;"1/5/2022",A:A,"&gt;="&amp;"1/5/2022")</f>
        <v>0</v>
      </c>
      <c r="J7" s="16">
        <f t="shared" si="0"/>
        <v>0</v>
      </c>
      <c r="L7" s="3">
        <v>44566</v>
      </c>
      <c r="M7" s="20">
        <f>SUMIFS(F:F,A:A,"&lt;="&amp;"1/5/2022",A:A,"&gt;="&amp;"1/5/2022")</f>
        <v>0</v>
      </c>
      <c r="N7" s="16">
        <f t="shared" si="1"/>
        <v>0</v>
      </c>
      <c r="P7" s="7" t="s">
        <v>13</v>
      </c>
      <c r="Q7">
        <v>14</v>
      </c>
    </row>
    <row r="8" spans="1:17" x14ac:dyDescent="0.25">
      <c r="A8" s="3">
        <v>44562</v>
      </c>
      <c r="B8" s="5" t="s">
        <v>9</v>
      </c>
      <c r="C8" s="5" t="s">
        <v>14</v>
      </c>
      <c r="D8" s="11">
        <v>2.5</v>
      </c>
      <c r="E8" s="11">
        <f>D8-VLOOKUP('Item Look Up Table'!$A$15,'Item Look Up Table'!$A$2:$B$15,2,FALSE)</f>
        <v>1.5</v>
      </c>
      <c r="F8" s="19">
        <f>VLOOKUP('Item Look Up Table'!$A$15,'Item Look Up Table'!$A$1:$C$15,3,FALSE)</f>
        <v>120</v>
      </c>
      <c r="H8" s="3">
        <v>44567</v>
      </c>
      <c r="I8" s="12">
        <f>SUMIFS(E:E,A:A,"&lt;="&amp;"1/6/2022",A:A,"&gt;="&amp;"1/6/2022")</f>
        <v>79.5</v>
      </c>
      <c r="J8" s="16">
        <f t="shared" si="0"/>
        <v>0.24613003095975233</v>
      </c>
      <c r="L8" s="3">
        <v>44567</v>
      </c>
      <c r="M8" s="20">
        <f>SUMIFS(F:F,A:A,"&lt;="&amp;"1/6/2022",A:A,"&gt;="&amp;"1/6/2022")</f>
        <v>12565</v>
      </c>
      <c r="N8" s="16">
        <f t="shared" si="1"/>
        <v>0.21656325405032747</v>
      </c>
      <c r="P8" s="7" t="s">
        <v>6</v>
      </c>
      <c r="Q8">
        <v>16</v>
      </c>
    </row>
    <row r="9" spans="1:17" x14ac:dyDescent="0.25">
      <c r="A9" s="3">
        <v>44562</v>
      </c>
      <c r="B9" s="5" t="s">
        <v>2</v>
      </c>
      <c r="C9" s="5" t="s">
        <v>3</v>
      </c>
      <c r="D9" s="11">
        <v>1.5</v>
      </c>
      <c r="E9" s="11">
        <f>D9-VLOOKUP('Item Look Up Table'!$A$8,'Item Look Up Table'!$A$2:$B$15,2,FALSE)</f>
        <v>1</v>
      </c>
      <c r="F9" s="19">
        <f>VLOOKUP('Item Look Up Table'!$A$8,'Item Look Up Table'!$A$1:$C$15,3,FALSE)</f>
        <v>265</v>
      </c>
      <c r="H9" s="3">
        <v>44568</v>
      </c>
      <c r="I9" s="12">
        <f>SUMIFS(E:E,A:A,"&lt;="&amp;"1/7/2022",A:A,"&gt;="&amp;"1/7/2022")</f>
        <v>48</v>
      </c>
      <c r="J9" s="16">
        <f t="shared" si="0"/>
        <v>0.14860681114551083</v>
      </c>
      <c r="L9" s="3">
        <v>44568</v>
      </c>
      <c r="M9" s="20">
        <f>SUMIFS(F:F,A:A,"&lt;="&amp;"1/7/2022",A:A,"&gt;="&amp;"1/7/2022")</f>
        <v>10910</v>
      </c>
      <c r="N9" s="16">
        <f t="shared" si="1"/>
        <v>0.18803860737676664</v>
      </c>
      <c r="P9" s="7" t="s">
        <v>2</v>
      </c>
      <c r="Q9">
        <v>15</v>
      </c>
    </row>
    <row r="10" spans="1:17" x14ac:dyDescent="0.25">
      <c r="A10" s="3">
        <v>44562</v>
      </c>
      <c r="B10" s="5" t="s">
        <v>5</v>
      </c>
      <c r="C10" s="5" t="s">
        <v>3</v>
      </c>
      <c r="D10" s="11">
        <v>2</v>
      </c>
      <c r="E10" s="11">
        <f>D10-VLOOKUP('Item Look Up Table'!$A$12,'Item Look Up Table'!$A$2:$B$15,2,FALSE)</f>
        <v>1</v>
      </c>
      <c r="F10" s="19">
        <f>VLOOKUP('Item Look Up Table'!$A$12,'Item Look Up Table'!$A$1:$C$15,3,FALSE)</f>
        <v>480</v>
      </c>
      <c r="H10" s="3">
        <v>44569</v>
      </c>
      <c r="I10" s="12">
        <f>SUMIFS(E:E,A:A,"&lt;="&amp;"1/8/2022",A:A,"&gt;="&amp;"1/8/2022")</f>
        <v>38</v>
      </c>
      <c r="J10" s="16">
        <f t="shared" si="0"/>
        <v>0.11764705882352941</v>
      </c>
      <c r="L10" s="3">
        <v>44569</v>
      </c>
      <c r="M10" s="20">
        <f>SUMIFS(F:F,A:A,"&lt;="&amp;"1/8/2022",A:A,"&gt;="&amp;"1/8/2022")</f>
        <v>6275</v>
      </c>
      <c r="N10" s="16">
        <f t="shared" si="1"/>
        <v>0.10815236125473975</v>
      </c>
      <c r="P10" s="7" t="s">
        <v>16</v>
      </c>
      <c r="Q10">
        <v>10</v>
      </c>
    </row>
    <row r="11" spans="1:17" x14ac:dyDescent="0.25">
      <c r="A11" s="3">
        <v>44562</v>
      </c>
      <c r="B11" s="5" t="s">
        <v>4</v>
      </c>
      <c r="C11" s="5" t="s">
        <v>3</v>
      </c>
      <c r="D11" s="11">
        <v>3</v>
      </c>
      <c r="E11" s="11">
        <f>D11-VLOOKUP('Item Look Up Table'!$A$11,'Item Look Up Table'!$A$2:$B$15,2,FALSE)</f>
        <v>0.5</v>
      </c>
      <c r="F11" s="19">
        <f>VLOOKUP('Item Look Up Table'!$A$11,'Item Look Up Table'!$A$1:$C$15,3,FALSE)</f>
        <v>560</v>
      </c>
      <c r="H11" s="22">
        <v>44570</v>
      </c>
      <c r="I11" s="13">
        <f>SUMIFS(E:E,A:A,"&lt;="&amp;"1/9/2022",A:A,"&gt;="&amp;"1/9/2022")</f>
        <v>36</v>
      </c>
      <c r="J11" s="17">
        <f t="shared" si="0"/>
        <v>0.11145510835913312</v>
      </c>
      <c r="L11" s="22">
        <v>44570</v>
      </c>
      <c r="M11" s="21">
        <f>SUMIFS(F:F,A:A,"&lt;="&amp;"1/9/2022",A:A,"&gt;="&amp;"1/9/2022")</f>
        <v>4945</v>
      </c>
      <c r="N11" s="17">
        <f t="shared" si="1"/>
        <v>8.5229231299551872E-2</v>
      </c>
      <c r="P11" s="7" t="s">
        <v>11</v>
      </c>
      <c r="Q11">
        <v>13</v>
      </c>
    </row>
    <row r="12" spans="1:17" x14ac:dyDescent="0.25">
      <c r="A12" s="3">
        <v>44562</v>
      </c>
      <c r="B12" s="5" t="s">
        <v>10</v>
      </c>
      <c r="C12" s="5" t="s">
        <v>14</v>
      </c>
      <c r="D12" s="11">
        <v>3</v>
      </c>
      <c r="E12" s="11">
        <f>D12-VLOOKUP('Item Look Up Table'!$A$3,'Item Look Up Table'!$A$2:B$15,2,FALSE)</f>
        <v>2.5</v>
      </c>
      <c r="F12" s="19">
        <f>VLOOKUP('Item Look Up Table'!$A$3,'Item Look Up Table'!$A$1:$C$15,3,FALSE)</f>
        <v>0</v>
      </c>
      <c r="H12" t="s">
        <v>30</v>
      </c>
      <c r="I12" s="12">
        <f>SUM(I3:I11)</f>
        <v>323</v>
      </c>
      <c r="J12" s="16">
        <f>SUM(J3:J11)</f>
        <v>1</v>
      </c>
      <c r="L12" t="s">
        <v>30</v>
      </c>
      <c r="M12" s="20">
        <f>SUM(M3:M11)</f>
        <v>58020</v>
      </c>
      <c r="N12" s="16">
        <f>SUM(N3:N11)</f>
        <v>0.99999999999999989</v>
      </c>
      <c r="P12" s="7" t="s">
        <v>4</v>
      </c>
      <c r="Q12">
        <v>15</v>
      </c>
    </row>
    <row r="13" spans="1:17" x14ac:dyDescent="0.25">
      <c r="A13" s="3">
        <v>44562</v>
      </c>
      <c r="B13" s="5" t="s">
        <v>8</v>
      </c>
      <c r="C13" s="5" t="s">
        <v>14</v>
      </c>
      <c r="D13" s="11">
        <v>4</v>
      </c>
      <c r="E13" s="11">
        <f>D13-VLOOKUP('Item Look Up Table'!$A$2,'Item Look Up Table'!$A$2:$B$15,2,FALSE)</f>
        <v>2</v>
      </c>
      <c r="F13" s="19">
        <f>VLOOKUP('Item Look Up Table'!$A$2,'Item Look Up Table'!$A$1:$C$15,3,FALSE)</f>
        <v>200</v>
      </c>
      <c r="P13" s="7" t="s">
        <v>5</v>
      </c>
      <c r="Q13">
        <v>17</v>
      </c>
    </row>
    <row r="14" spans="1:17" x14ac:dyDescent="0.25">
      <c r="A14" s="3">
        <v>44562</v>
      </c>
      <c r="B14" s="5" t="s">
        <v>11</v>
      </c>
      <c r="C14" s="5" t="s">
        <v>15</v>
      </c>
      <c r="D14" s="11">
        <v>2</v>
      </c>
      <c r="E14" s="11">
        <f>D14-VLOOKUP('Item Look Up Table'!$A$10,'Item Look Up Table'!$A$2:$B$15,2,FALSE)</f>
        <v>1</v>
      </c>
      <c r="F14" s="19">
        <f>VLOOKUP('Item Look Up Table'!$A$10,'Item Look Up Table'!$A$1:$C$15,3,FALSE)</f>
        <v>280</v>
      </c>
      <c r="P14" s="7" t="s">
        <v>7</v>
      </c>
      <c r="Q14">
        <v>16</v>
      </c>
    </row>
    <row r="15" spans="1:17" x14ac:dyDescent="0.25">
      <c r="A15" s="3">
        <v>44562</v>
      </c>
      <c r="B15" s="5" t="s">
        <v>18</v>
      </c>
      <c r="C15" s="5" t="s">
        <v>19</v>
      </c>
      <c r="D15" s="11">
        <v>3</v>
      </c>
      <c r="E15" s="11">
        <f>D15-VLOOKUP('Item Look Up Table'!$A$14,'Item Look Up Table'!$A$2:$B$15,2,FALSE)</f>
        <v>2.5</v>
      </c>
      <c r="F15" s="19">
        <f>VLOOKUP('Item Look Up Table'!$A$14,'Item Look Up Table'!$A$1:$C$15,3,FALSE)</f>
        <v>150</v>
      </c>
      <c r="H15" s="12"/>
      <c r="P15" s="7" t="s">
        <v>18</v>
      </c>
      <c r="Q15">
        <v>13</v>
      </c>
    </row>
    <row r="16" spans="1:17" x14ac:dyDescent="0.25">
      <c r="A16" s="3">
        <v>44562</v>
      </c>
      <c r="B16" s="5" t="s">
        <v>7</v>
      </c>
      <c r="C16" s="5" t="s">
        <v>3</v>
      </c>
      <c r="D16" s="11">
        <v>5</v>
      </c>
      <c r="E16" s="11">
        <f>D16-VLOOKUP('Item Look Up Table'!$A$13,'Item Look Up Table'!$A$2:$B$15,2,FALSE)</f>
        <v>4.5</v>
      </c>
      <c r="F16" s="19">
        <f>VLOOKUP('Item Look Up Table'!$A$13,'Item Look Up Table'!$A$1:$C$15,3,FALSE)</f>
        <v>500</v>
      </c>
      <c r="H16" s="8" t="s">
        <v>31</v>
      </c>
      <c r="I16" s="8" t="s">
        <v>29</v>
      </c>
      <c r="J16" s="8" t="s">
        <v>32</v>
      </c>
      <c r="L16" s="9" t="s">
        <v>31</v>
      </c>
      <c r="M16" s="9" t="s">
        <v>34</v>
      </c>
      <c r="N16" s="9" t="s">
        <v>36</v>
      </c>
      <c r="P16" s="7" t="s">
        <v>9</v>
      </c>
      <c r="Q16">
        <v>13</v>
      </c>
    </row>
    <row r="17" spans="1:17" x14ac:dyDescent="0.25">
      <c r="A17" s="3">
        <v>44563</v>
      </c>
      <c r="B17" s="5" t="s">
        <v>5</v>
      </c>
      <c r="C17" s="5" t="s">
        <v>3</v>
      </c>
      <c r="D17" s="11">
        <v>2</v>
      </c>
      <c r="E17" s="11">
        <f>D17-VLOOKUP('Item Look Up Table'!$A$12,'Item Look Up Table'!$A$2:$B$15,2,FALSE)</f>
        <v>1</v>
      </c>
      <c r="F17" s="19">
        <f>VLOOKUP('Item Look Up Table'!$A$12,'Item Look Up Table'!$A$1:$C$15,3,FALSE)</f>
        <v>480</v>
      </c>
      <c r="H17" s="10" t="s">
        <v>8</v>
      </c>
      <c r="I17" s="12">
        <f>SUMIF(B:B,"Beer",E:E)</f>
        <v>40</v>
      </c>
      <c r="J17" s="16">
        <f>I17/$I$31</f>
        <v>0.1238390092879257</v>
      </c>
      <c r="K17" s="16"/>
      <c r="L17" s="10" t="s">
        <v>8</v>
      </c>
      <c r="M17" s="20">
        <f>SUMIF(B:B,"Beer",F:F)</f>
        <v>4000</v>
      </c>
      <c r="N17" s="16">
        <f>M17/$M$31</f>
        <v>6.894174422612892E-2</v>
      </c>
      <c r="P17" s="7" t="s">
        <v>25</v>
      </c>
      <c r="Q17">
        <v>199</v>
      </c>
    </row>
    <row r="18" spans="1:17" x14ac:dyDescent="0.25">
      <c r="A18" s="3">
        <v>44563</v>
      </c>
      <c r="B18" s="5" t="s">
        <v>10</v>
      </c>
      <c r="C18" s="5" t="s">
        <v>14</v>
      </c>
      <c r="D18" s="11">
        <v>3</v>
      </c>
      <c r="E18" s="11">
        <f>D18-VLOOKUP('Item Look Up Table'!$A$3,'Item Look Up Table'!$A$2:B$15,2,FALSE)</f>
        <v>2.5</v>
      </c>
      <c r="F18" s="19">
        <f>VLOOKUP('Item Look Up Table'!$A$3,'Item Look Up Table'!$A$1:$C$15,3,FALSE)</f>
        <v>0</v>
      </c>
      <c r="H18" s="10" t="s">
        <v>10</v>
      </c>
      <c r="I18" s="12">
        <f>SUMIF(B:B,"Bottled Water",E:E)</f>
        <v>32.5</v>
      </c>
      <c r="J18" s="16">
        <f>I18/$I$31</f>
        <v>0.10061919504643962</v>
      </c>
      <c r="K18" s="16"/>
      <c r="L18" s="10" t="s">
        <v>10</v>
      </c>
      <c r="M18" s="20">
        <f>SUMIF(B:B,"Bottled Water",F:F)</f>
        <v>0</v>
      </c>
      <c r="N18" s="16">
        <f t="shared" ref="N18:N30" si="2">M18/$M$31</f>
        <v>0</v>
      </c>
    </row>
    <row r="19" spans="1:17" x14ac:dyDescent="0.25">
      <c r="A19" s="3">
        <v>44563</v>
      </c>
      <c r="B19" s="5" t="s">
        <v>2</v>
      </c>
      <c r="C19" s="5" t="s">
        <v>3</v>
      </c>
      <c r="D19" s="11">
        <v>1.5</v>
      </c>
      <c r="E19" s="11">
        <f>D19-VLOOKUP('Item Look Up Table'!$A$8,'Item Look Up Table'!$A$2:$B$15,2,FALSE)</f>
        <v>1</v>
      </c>
      <c r="F19" s="19">
        <f>VLOOKUP('Item Look Up Table'!$A$8,'Item Look Up Table'!$A$1:$C$15,3,FALSE)</f>
        <v>265</v>
      </c>
      <c r="H19" s="10" t="s">
        <v>12</v>
      </c>
      <c r="I19" s="12">
        <f>SUMIF(B:B,"Chocolate Bar",E:E)</f>
        <v>13</v>
      </c>
      <c r="J19" s="16">
        <f t="shared" ref="J19:J30" si="3">I19/$I$31</f>
        <v>4.0247678018575851E-2</v>
      </c>
      <c r="K19" s="16"/>
      <c r="L19" s="10" t="s">
        <v>12</v>
      </c>
      <c r="M19" s="20">
        <f>SUMIF(B:B,"Chocolate Bar",F:F)</f>
        <v>3315</v>
      </c>
      <c r="N19" s="16">
        <f t="shared" si="2"/>
        <v>5.7135470527404343E-2</v>
      </c>
    </row>
    <row r="20" spans="1:17" x14ac:dyDescent="0.25">
      <c r="A20" s="3">
        <v>44563</v>
      </c>
      <c r="B20" s="5" t="s">
        <v>17</v>
      </c>
      <c r="C20" s="5" t="s">
        <v>19</v>
      </c>
      <c r="D20" s="11">
        <v>3</v>
      </c>
      <c r="E20" s="11">
        <f>D20-VLOOKUP('Item Look Up Table'!$A$5,'Item Look Up Table'!$A$2:B$15,2,FALSE)</f>
        <v>2</v>
      </c>
      <c r="F20" s="19">
        <f>VLOOKUP('Item Look Up Table'!$A$5,'Item Look Up Table'!$A$1:$C$15,3,FALSE)</f>
        <v>300</v>
      </c>
      <c r="H20" s="10" t="s">
        <v>17</v>
      </c>
      <c r="I20" s="12">
        <f>SUMIF(B:B,"Chocolate Dipped Cone",E:E)</f>
        <v>22</v>
      </c>
      <c r="J20" s="16">
        <f t="shared" si="3"/>
        <v>6.8111455108359129E-2</v>
      </c>
      <c r="K20" s="16"/>
      <c r="L20" s="10" t="s">
        <v>17</v>
      </c>
      <c r="M20" s="20">
        <f>SUMIF(B:B,"Chocolate Dipped Cone",F:F)</f>
        <v>3300</v>
      </c>
      <c r="N20" s="16">
        <f t="shared" si="2"/>
        <v>5.6876938986556359E-2</v>
      </c>
      <c r="P20" s="6" t="s">
        <v>24</v>
      </c>
      <c r="Q20" t="s">
        <v>26</v>
      </c>
    </row>
    <row r="21" spans="1:17" x14ac:dyDescent="0.25">
      <c r="A21" s="3">
        <v>44563</v>
      </c>
      <c r="B21" s="5" t="s">
        <v>9</v>
      </c>
      <c r="C21" s="5" t="s">
        <v>14</v>
      </c>
      <c r="D21" s="11">
        <v>2.5</v>
      </c>
      <c r="E21" s="11">
        <f>D21-VLOOKUP('Item Look Up Table'!$A$15,'Item Look Up Table'!$A$2:$B$15,2,FALSE)</f>
        <v>1.5</v>
      </c>
      <c r="F21" s="19">
        <f>VLOOKUP('Item Look Up Table'!$A$15,'Item Look Up Table'!$A$1:$C$15,3,FALSE)</f>
        <v>120</v>
      </c>
      <c r="H21" s="10" t="s">
        <v>13</v>
      </c>
      <c r="I21" s="12">
        <f>SUMIF(B:B,"Gummy Bears",E:E)</f>
        <v>0</v>
      </c>
      <c r="J21" s="16">
        <f t="shared" si="3"/>
        <v>0</v>
      </c>
      <c r="K21" s="16"/>
      <c r="L21" s="10" t="s">
        <v>13</v>
      </c>
      <c r="M21" s="20">
        <f>SUMIF(B:B,"Gummy Bears",F:F)</f>
        <v>4200</v>
      </c>
      <c r="N21" s="16">
        <f t="shared" si="2"/>
        <v>7.2388831437435366E-2</v>
      </c>
      <c r="P21" s="7" t="s">
        <v>14</v>
      </c>
      <c r="Q21">
        <v>46</v>
      </c>
    </row>
    <row r="22" spans="1:17" x14ac:dyDescent="0.25">
      <c r="A22" s="3">
        <v>44563</v>
      </c>
      <c r="B22" s="5" t="s">
        <v>12</v>
      </c>
      <c r="C22" s="5" t="s">
        <v>15</v>
      </c>
      <c r="D22" s="11">
        <v>2</v>
      </c>
      <c r="E22" s="11">
        <f>D22-VLOOKUP('Item Look Up Table'!$A$4,'Item Look Up Table'!$A$2:B$15,2,FALSE)</f>
        <v>1</v>
      </c>
      <c r="F22" s="19">
        <f>VLOOKUP('Item Look Up Table'!$A$4,'Item Look Up Table'!$A$1:$C$15,3,FALSE)</f>
        <v>255</v>
      </c>
      <c r="H22" s="10" t="s">
        <v>6</v>
      </c>
      <c r="I22" s="12">
        <f>SUMIF(B:B,"Hamburger",E:E)</f>
        <v>24</v>
      </c>
      <c r="J22" s="16">
        <f t="shared" si="3"/>
        <v>7.4303405572755415E-2</v>
      </c>
      <c r="K22" s="16"/>
      <c r="L22" s="10" t="s">
        <v>6</v>
      </c>
      <c r="M22" s="20">
        <f>SUMIF(B:B,"Hamburger",F:F)</f>
        <v>5120</v>
      </c>
      <c r="N22" s="16">
        <f t="shared" si="2"/>
        <v>8.8245432609445021E-2</v>
      </c>
      <c r="P22" s="7" t="s">
        <v>15</v>
      </c>
      <c r="Q22">
        <v>40</v>
      </c>
    </row>
    <row r="23" spans="1:17" x14ac:dyDescent="0.25">
      <c r="A23" s="3">
        <v>44563</v>
      </c>
      <c r="B23" s="5" t="s">
        <v>6</v>
      </c>
      <c r="C23" s="5" t="s">
        <v>3</v>
      </c>
      <c r="D23" s="11">
        <v>3</v>
      </c>
      <c r="E23" s="11">
        <f>D23-VLOOKUP('Item Look Up Table'!$A$7,'Item Look Up Table'!$A$2:$B$15,2,FALSE)</f>
        <v>1.5</v>
      </c>
      <c r="F23" s="19">
        <f>VLOOKUP('Item Look Up Table'!$A$7,'Item Look Up Table'!$A$1:$C$15,3,FALSE)</f>
        <v>320</v>
      </c>
      <c r="H23" s="10" t="s">
        <v>2</v>
      </c>
      <c r="I23" s="12">
        <f>SUMIF(B:B,"Hot Dog",E:E)</f>
        <v>15</v>
      </c>
      <c r="J23" s="16">
        <f t="shared" si="3"/>
        <v>4.6439628482972138E-2</v>
      </c>
      <c r="K23" s="16"/>
      <c r="L23" s="10" t="s">
        <v>2</v>
      </c>
      <c r="M23" s="20">
        <f>SUMIF(B:B,"Hot Dog",F:F)</f>
        <v>3975</v>
      </c>
      <c r="N23" s="16">
        <f t="shared" si="2"/>
        <v>6.8510858324715609E-2</v>
      </c>
      <c r="P23" s="7" t="s">
        <v>19</v>
      </c>
      <c r="Q23">
        <v>34</v>
      </c>
    </row>
    <row r="24" spans="1:17" x14ac:dyDescent="0.25">
      <c r="A24" s="3">
        <v>44563</v>
      </c>
      <c r="B24" s="5" t="s">
        <v>11</v>
      </c>
      <c r="C24" s="5" t="s">
        <v>15</v>
      </c>
      <c r="D24" s="11">
        <v>2</v>
      </c>
      <c r="E24" s="11">
        <f>D24-VLOOKUP('Item Look Up Table'!$A$10,'Item Look Up Table'!$A$2:$B$15,2,FALSE)</f>
        <v>1</v>
      </c>
      <c r="F24" s="19">
        <f>VLOOKUP('Item Look Up Table'!$A$10,'Item Look Up Table'!$A$1:$C$15,3,FALSE)</f>
        <v>280</v>
      </c>
      <c r="H24" s="10" t="s">
        <v>16</v>
      </c>
      <c r="I24" s="12">
        <f>SUMIF(B:B,"Ice Cream Sandwich",E:E)</f>
        <v>15</v>
      </c>
      <c r="J24" s="16">
        <f t="shared" si="3"/>
        <v>4.6439628482972138E-2</v>
      </c>
      <c r="K24" s="16"/>
      <c r="L24" s="10" t="s">
        <v>16</v>
      </c>
      <c r="M24" s="20">
        <f>SUMIF(B:B,"Ice Cream Sandwich",F:F)</f>
        <v>2400</v>
      </c>
      <c r="N24" s="16">
        <f t="shared" si="2"/>
        <v>4.1365046535677352E-2</v>
      </c>
      <c r="P24" s="7" t="s">
        <v>3</v>
      </c>
      <c r="Q24">
        <v>79</v>
      </c>
    </row>
    <row r="25" spans="1:17" x14ac:dyDescent="0.25">
      <c r="A25" s="3">
        <v>44563</v>
      </c>
      <c r="B25" s="5" t="s">
        <v>4</v>
      </c>
      <c r="C25" s="5" t="s">
        <v>3</v>
      </c>
      <c r="D25" s="11">
        <v>3</v>
      </c>
      <c r="E25" s="11">
        <f>D25-VLOOKUP('Item Look Up Table'!$A$11,'Item Look Up Table'!$A$2:$B$15,2,FALSE)</f>
        <v>0.5</v>
      </c>
      <c r="F25" s="19">
        <f>VLOOKUP('Item Look Up Table'!$A$11,'Item Look Up Table'!$A$1:$C$15,3,FALSE)</f>
        <v>560</v>
      </c>
      <c r="H25" s="10" t="s">
        <v>11</v>
      </c>
      <c r="I25" s="12">
        <f>SUMIF(B:B,"Licorice Rope",E:E)</f>
        <v>13</v>
      </c>
      <c r="J25" s="16">
        <f t="shared" si="3"/>
        <v>4.0247678018575851E-2</v>
      </c>
      <c r="K25" s="16"/>
      <c r="L25" s="10" t="s">
        <v>11</v>
      </c>
      <c r="M25" s="20">
        <f>SUMIF(B:B,"Licorice Rope",F:F)</f>
        <v>3640</v>
      </c>
      <c r="N25" s="16">
        <f t="shared" si="2"/>
        <v>6.2736987245777323E-2</v>
      </c>
      <c r="P25" s="7" t="s">
        <v>25</v>
      </c>
      <c r="Q25">
        <v>199</v>
      </c>
    </row>
    <row r="26" spans="1:17" x14ac:dyDescent="0.25">
      <c r="A26" s="3">
        <v>44563</v>
      </c>
      <c r="B26" s="5" t="s">
        <v>10</v>
      </c>
      <c r="C26" s="5" t="s">
        <v>14</v>
      </c>
      <c r="D26" s="11">
        <v>3</v>
      </c>
      <c r="E26" s="11">
        <f>D26-VLOOKUP('Item Look Up Table'!$A$3,'Item Look Up Table'!$A$2:B$15,2,FALSE)</f>
        <v>2.5</v>
      </c>
      <c r="F26" s="19">
        <f>VLOOKUP('Item Look Up Table'!$A$3,'Item Look Up Table'!$A$1:$C$15,3,FALSE)</f>
        <v>0</v>
      </c>
      <c r="H26" s="10" t="s">
        <v>4</v>
      </c>
      <c r="I26" s="12">
        <f>SUMIF(B:B,"Nachos",E:E)</f>
        <v>7.5</v>
      </c>
      <c r="J26" s="16">
        <f t="shared" si="3"/>
        <v>2.3219814241486069E-2</v>
      </c>
      <c r="K26" s="16"/>
      <c r="L26" s="10" t="s">
        <v>4</v>
      </c>
      <c r="M26" s="20">
        <f>SUMIF(B:B,"Nachos",F:F)</f>
        <v>8400</v>
      </c>
      <c r="N26" s="16">
        <f t="shared" si="2"/>
        <v>0.14477766287487073</v>
      </c>
    </row>
    <row r="27" spans="1:17" x14ac:dyDescent="0.25">
      <c r="A27" s="3">
        <v>44563</v>
      </c>
      <c r="B27" s="5" t="s">
        <v>10</v>
      </c>
      <c r="C27" s="5" t="s">
        <v>14</v>
      </c>
      <c r="D27" s="11">
        <v>3</v>
      </c>
      <c r="E27" s="11">
        <f>D27-VLOOKUP('Item Look Up Table'!$A$3,'Item Look Up Table'!$A$2:B$15,2,FALSE)</f>
        <v>2.5</v>
      </c>
      <c r="F27" s="19">
        <f>VLOOKUP('Item Look Up Table'!$A$3,'Item Look Up Table'!$A$1:$C$15,3,FALSE)</f>
        <v>0</v>
      </c>
      <c r="H27" s="10" t="s">
        <v>5</v>
      </c>
      <c r="I27" s="12">
        <f>SUMIF(B:B,"Pizza",E:E)</f>
        <v>17</v>
      </c>
      <c r="J27" s="16">
        <f t="shared" si="3"/>
        <v>5.2631578947368418E-2</v>
      </c>
      <c r="K27" s="16"/>
      <c r="L27" s="10" t="s">
        <v>5</v>
      </c>
      <c r="M27" s="20">
        <f>SUMIF(B:B,"Pizza",F:F)</f>
        <v>8160</v>
      </c>
      <c r="N27" s="16">
        <f t="shared" si="2"/>
        <v>0.14064115822130299</v>
      </c>
    </row>
    <row r="28" spans="1:17" x14ac:dyDescent="0.25">
      <c r="A28" s="3">
        <v>44563</v>
      </c>
      <c r="B28" s="5" t="s">
        <v>7</v>
      </c>
      <c r="C28" s="5" t="s">
        <v>3</v>
      </c>
      <c r="D28" s="11">
        <v>5</v>
      </c>
      <c r="E28" s="11">
        <f>D28-VLOOKUP('Item Look Up Table'!$A$13,'Item Look Up Table'!$A$2:$B$15,2,FALSE)</f>
        <v>4.5</v>
      </c>
      <c r="F28" s="19">
        <f>VLOOKUP('Item Look Up Table'!$A$13,'Item Look Up Table'!$A$1:$C$15,3,FALSE)</f>
        <v>500</v>
      </c>
      <c r="H28" s="10" t="s">
        <v>7</v>
      </c>
      <c r="I28" s="12">
        <f>SUMIF(B:B,"Popcorn",E:E)</f>
        <v>72</v>
      </c>
      <c r="J28" s="16">
        <f t="shared" si="3"/>
        <v>0.22291021671826625</v>
      </c>
      <c r="K28" s="16"/>
      <c r="L28" s="10" t="s">
        <v>7</v>
      </c>
      <c r="M28" s="20">
        <f>SUMIF(B:B,"Popcorn",F:F)</f>
        <v>8000</v>
      </c>
      <c r="N28" s="16">
        <f t="shared" si="2"/>
        <v>0.13788348845225784</v>
      </c>
    </row>
    <row r="29" spans="1:17" x14ac:dyDescent="0.25">
      <c r="A29" s="3">
        <v>44563</v>
      </c>
      <c r="B29" s="5" t="s">
        <v>12</v>
      </c>
      <c r="C29" s="5" t="s">
        <v>15</v>
      </c>
      <c r="D29" s="11">
        <v>2</v>
      </c>
      <c r="E29" s="11">
        <f>D29-VLOOKUP('Item Look Up Table'!$A$4,'Item Look Up Table'!$A$2:B$15,2,FALSE)</f>
        <v>1</v>
      </c>
      <c r="F29" s="19">
        <f>VLOOKUP('Item Look Up Table'!$A$4,'Item Look Up Table'!$A$1:$C$15,3,FALSE)</f>
        <v>255</v>
      </c>
      <c r="H29" s="10" t="s">
        <v>18</v>
      </c>
      <c r="I29" s="12">
        <f>SUMIF(B:B,"Popsicle",E:E)</f>
        <v>32.5</v>
      </c>
      <c r="J29" s="16">
        <f t="shared" si="3"/>
        <v>0.10061919504643962</v>
      </c>
      <c r="K29" s="16"/>
      <c r="L29" s="10" t="s">
        <v>18</v>
      </c>
      <c r="M29" s="20">
        <f>SUMIF(B:B,"Popsicle",F:F)</f>
        <v>1950</v>
      </c>
      <c r="N29" s="16">
        <f t="shared" si="2"/>
        <v>3.3609100310237852E-2</v>
      </c>
    </row>
    <row r="30" spans="1:17" x14ac:dyDescent="0.25">
      <c r="A30" s="3">
        <v>44563</v>
      </c>
      <c r="B30" s="5" t="s">
        <v>17</v>
      </c>
      <c r="C30" s="5" t="s">
        <v>19</v>
      </c>
      <c r="D30" s="11">
        <v>3</v>
      </c>
      <c r="E30" s="11">
        <f>D30-VLOOKUP('Item Look Up Table'!$A$5,'Item Look Up Table'!$A$2:B$15,2,FALSE)</f>
        <v>2</v>
      </c>
      <c r="F30" s="19">
        <f>VLOOKUP('Item Look Up Table'!$A$5,'Item Look Up Table'!$A$1:$C$15,3,FALSE)</f>
        <v>300</v>
      </c>
      <c r="H30" s="15" t="s">
        <v>9</v>
      </c>
      <c r="I30" s="13">
        <f>SUMIF(B:B,"Soda",E:E)</f>
        <v>19.5</v>
      </c>
      <c r="J30" s="17">
        <f t="shared" si="3"/>
        <v>6.037151702786378E-2</v>
      </c>
      <c r="K30" s="16"/>
      <c r="L30" s="15" t="s">
        <v>9</v>
      </c>
      <c r="M30" s="21">
        <f>SUMIF(B:B,"Soda",F:F)</f>
        <v>1560</v>
      </c>
      <c r="N30" s="17">
        <f t="shared" si="2"/>
        <v>2.688728024819028E-2</v>
      </c>
    </row>
    <row r="31" spans="1:17" x14ac:dyDescent="0.25">
      <c r="A31" s="3">
        <v>44563</v>
      </c>
      <c r="B31" s="5" t="s">
        <v>9</v>
      </c>
      <c r="C31" s="5" t="s">
        <v>14</v>
      </c>
      <c r="D31" s="11">
        <v>2.5</v>
      </c>
      <c r="E31" s="11">
        <f>D31-VLOOKUP('Item Look Up Table'!$A$15,'Item Look Up Table'!$A$2:$B$15,2,FALSE)</f>
        <v>1.5</v>
      </c>
      <c r="F31" s="19">
        <f>VLOOKUP('Item Look Up Table'!$A$15,'Item Look Up Table'!$A$1:$C$15,3,FALSE)</f>
        <v>120</v>
      </c>
      <c r="H31" s="2" t="s">
        <v>30</v>
      </c>
      <c r="I31" s="12">
        <f>SUM(I17:I30)</f>
        <v>323</v>
      </c>
      <c r="J31" s="16">
        <f>SUM(J17:J30)</f>
        <v>1</v>
      </c>
      <c r="K31" s="16"/>
      <c r="L31" s="16" t="s">
        <v>30</v>
      </c>
      <c r="M31" s="20">
        <f>SUM(M17:M30)</f>
        <v>58020</v>
      </c>
      <c r="N31" s="16">
        <f>SUM(N17:N30)</f>
        <v>1</v>
      </c>
    </row>
    <row r="32" spans="1:17" x14ac:dyDescent="0.25">
      <c r="A32" s="3">
        <v>44563</v>
      </c>
      <c r="B32" s="5" t="s">
        <v>13</v>
      </c>
      <c r="C32" s="5" t="s">
        <v>15</v>
      </c>
      <c r="D32" s="11">
        <v>2</v>
      </c>
      <c r="E32" s="11">
        <f>D32-VLOOKUP('Item Look Up Table'!$A$6,'Item Look Up Table'!$A$2:B$15,2,FALSE)</f>
        <v>0</v>
      </c>
      <c r="F32" s="19">
        <f>VLOOKUP('Item Look Up Table'!$A$6,'Item Look Up Table'!$A$1:$C$15,3,FALSE)</f>
        <v>300</v>
      </c>
      <c r="H32" s="2"/>
    </row>
    <row r="33" spans="1:8" x14ac:dyDescent="0.25">
      <c r="A33" s="3">
        <v>44563</v>
      </c>
      <c r="B33" s="5" t="s">
        <v>17</v>
      </c>
      <c r="C33" s="5" t="s">
        <v>19</v>
      </c>
      <c r="D33" s="11">
        <v>3</v>
      </c>
      <c r="E33" s="11">
        <f>D33-VLOOKUP('Item Look Up Table'!$A$5,'Item Look Up Table'!$A$2:B$15,2,FALSE)</f>
        <v>2</v>
      </c>
      <c r="F33" s="19">
        <f>VLOOKUP('Item Look Up Table'!$A$5,'Item Look Up Table'!$A$1:$C$15,3,FALSE)</f>
        <v>300</v>
      </c>
      <c r="H33" s="2"/>
    </row>
    <row r="34" spans="1:8" x14ac:dyDescent="0.25">
      <c r="A34" s="3">
        <v>44563</v>
      </c>
      <c r="B34" s="5" t="s">
        <v>9</v>
      </c>
      <c r="C34" s="5" t="s">
        <v>14</v>
      </c>
      <c r="D34" s="11">
        <v>2.5</v>
      </c>
      <c r="E34" s="11">
        <f>D34-VLOOKUP('Item Look Up Table'!$A$15,'Item Look Up Table'!$A$2:$B$15,2,FALSE)</f>
        <v>1.5</v>
      </c>
      <c r="F34" s="19">
        <f>VLOOKUP('Item Look Up Table'!$A$15,'Item Look Up Table'!$A$1:$C$15,3,FALSE)</f>
        <v>120</v>
      </c>
      <c r="H34" s="2"/>
    </row>
    <row r="35" spans="1:8" x14ac:dyDescent="0.25">
      <c r="A35" s="3">
        <v>44563</v>
      </c>
      <c r="B35" s="5" t="s">
        <v>12</v>
      </c>
      <c r="C35" s="5" t="s">
        <v>15</v>
      </c>
      <c r="D35" s="11">
        <v>2</v>
      </c>
      <c r="E35" s="11">
        <f>D35-VLOOKUP('Item Look Up Table'!$A$4,'Item Look Up Table'!$A$2:B$15,2,FALSE)</f>
        <v>1</v>
      </c>
      <c r="F35" s="19">
        <f>VLOOKUP('Item Look Up Table'!$A$4,'Item Look Up Table'!$A$1:$C$15,3,FALSE)</f>
        <v>255</v>
      </c>
      <c r="H35" s="2"/>
    </row>
    <row r="36" spans="1:8" x14ac:dyDescent="0.25">
      <c r="A36" s="3">
        <v>44563</v>
      </c>
      <c r="B36" s="5" t="s">
        <v>8</v>
      </c>
      <c r="C36" s="5" t="s">
        <v>14</v>
      </c>
      <c r="D36" s="11">
        <v>4</v>
      </c>
      <c r="E36" s="11">
        <f>D36-VLOOKUP('Item Look Up Table'!$A$2,'Item Look Up Table'!$A$2:$B$15,2,FALSE)</f>
        <v>2</v>
      </c>
      <c r="F36" s="19">
        <f>VLOOKUP('Item Look Up Table'!$A$2,'Item Look Up Table'!$A$1:$C$15,3,FALSE)</f>
        <v>200</v>
      </c>
      <c r="H36" s="2"/>
    </row>
    <row r="37" spans="1:8" x14ac:dyDescent="0.25">
      <c r="A37" s="3">
        <v>44563</v>
      </c>
      <c r="B37" s="5" t="s">
        <v>17</v>
      </c>
      <c r="C37" s="5" t="s">
        <v>19</v>
      </c>
      <c r="D37" s="11">
        <v>3</v>
      </c>
      <c r="E37" s="11">
        <f>D37-VLOOKUP('Item Look Up Table'!$A$5,'Item Look Up Table'!$A$2:B$15,2,FALSE)</f>
        <v>2</v>
      </c>
      <c r="F37" s="19">
        <f>VLOOKUP('Item Look Up Table'!$A$5,'Item Look Up Table'!$A$1:$C$15,3,FALSE)</f>
        <v>300</v>
      </c>
      <c r="H37" s="2"/>
    </row>
    <row r="38" spans="1:8" x14ac:dyDescent="0.25">
      <c r="A38" s="3">
        <v>44563</v>
      </c>
      <c r="B38" s="5" t="s">
        <v>6</v>
      </c>
      <c r="C38" s="5" t="s">
        <v>3</v>
      </c>
      <c r="D38" s="11">
        <v>3</v>
      </c>
      <c r="E38" s="11">
        <f>D38-VLOOKUP('Item Look Up Table'!$A$7,'Item Look Up Table'!$A$2:$B$15,2,FALSE)</f>
        <v>1.5</v>
      </c>
      <c r="F38" s="19">
        <f>VLOOKUP('Item Look Up Table'!$A$7,'Item Look Up Table'!$A$1:$C$15,3,FALSE)</f>
        <v>320</v>
      </c>
      <c r="H38" s="2"/>
    </row>
    <row r="39" spans="1:8" x14ac:dyDescent="0.25">
      <c r="A39" s="3">
        <v>44563</v>
      </c>
      <c r="B39" s="5" t="s">
        <v>12</v>
      </c>
      <c r="C39" s="5" t="s">
        <v>15</v>
      </c>
      <c r="D39" s="11">
        <v>2</v>
      </c>
      <c r="E39" s="11">
        <f>D39-VLOOKUP('Item Look Up Table'!$A$4,'Item Look Up Table'!$A$2:B$15,2,FALSE)</f>
        <v>1</v>
      </c>
      <c r="F39" s="19">
        <f>VLOOKUP('Item Look Up Table'!$A$4,'Item Look Up Table'!$A$1:$C$15,3,FALSE)</f>
        <v>255</v>
      </c>
    </row>
    <row r="40" spans="1:8" x14ac:dyDescent="0.25">
      <c r="A40" s="3">
        <v>44563</v>
      </c>
      <c r="B40" s="5" t="s">
        <v>7</v>
      </c>
      <c r="C40" s="5" t="s">
        <v>3</v>
      </c>
      <c r="D40" s="11">
        <v>5</v>
      </c>
      <c r="E40" s="11">
        <f>D40-VLOOKUP('Item Look Up Table'!$A$13,'Item Look Up Table'!$A$2:$B$15,2,FALSE)</f>
        <v>4.5</v>
      </c>
      <c r="F40" s="19">
        <f>VLOOKUP('Item Look Up Table'!$A$13,'Item Look Up Table'!$A$1:$C$15,3,FALSE)</f>
        <v>500</v>
      </c>
    </row>
    <row r="41" spans="1:8" x14ac:dyDescent="0.25">
      <c r="A41" s="3">
        <v>44563</v>
      </c>
      <c r="B41" s="5" t="s">
        <v>6</v>
      </c>
      <c r="C41" s="5" t="s">
        <v>3</v>
      </c>
      <c r="D41" s="11">
        <v>3</v>
      </c>
      <c r="E41" s="11">
        <f>D41-VLOOKUP('Item Look Up Table'!$A$7,'Item Look Up Table'!$A$2:$B$15,2,FALSE)</f>
        <v>1.5</v>
      </c>
      <c r="F41" s="19">
        <f>VLOOKUP('Item Look Up Table'!$A$7,'Item Look Up Table'!$A$1:$C$15,3,FALSE)</f>
        <v>320</v>
      </c>
    </row>
    <row r="42" spans="1:8" x14ac:dyDescent="0.25">
      <c r="A42" s="3">
        <v>44563</v>
      </c>
      <c r="B42" s="5" t="s">
        <v>9</v>
      </c>
      <c r="C42" s="5" t="s">
        <v>14</v>
      </c>
      <c r="D42" s="11">
        <v>2.5</v>
      </c>
      <c r="E42" s="11">
        <f>D42-VLOOKUP('Item Look Up Table'!$A$15,'Item Look Up Table'!$A$2:$B$15,2,FALSE)</f>
        <v>1.5</v>
      </c>
      <c r="F42" s="19">
        <f>VLOOKUP('Item Look Up Table'!$A$15,'Item Look Up Table'!$A$1:$C$15,3,FALSE)</f>
        <v>120</v>
      </c>
    </row>
    <row r="43" spans="1:8" x14ac:dyDescent="0.25">
      <c r="A43" s="3">
        <v>44563</v>
      </c>
      <c r="B43" s="5" t="s">
        <v>5</v>
      </c>
      <c r="C43" s="5" t="s">
        <v>3</v>
      </c>
      <c r="D43" s="11">
        <v>2</v>
      </c>
      <c r="E43" s="11">
        <f>D43-VLOOKUP('Item Look Up Table'!$A$12,'Item Look Up Table'!$A$2:$B$15,2,FALSE)</f>
        <v>1</v>
      </c>
      <c r="F43" s="19">
        <f>VLOOKUP('Item Look Up Table'!$A$12,'Item Look Up Table'!$A$1:$C$15,3,FALSE)</f>
        <v>480</v>
      </c>
    </row>
    <row r="44" spans="1:8" x14ac:dyDescent="0.25">
      <c r="A44" s="3">
        <v>44563</v>
      </c>
      <c r="B44" s="5" t="s">
        <v>2</v>
      </c>
      <c r="C44" s="5" t="s">
        <v>3</v>
      </c>
      <c r="D44" s="11">
        <v>1.5</v>
      </c>
      <c r="E44" s="11">
        <f>D44-VLOOKUP('Item Look Up Table'!$A$8,'Item Look Up Table'!$A$2:$B$15,2,FALSE)</f>
        <v>1</v>
      </c>
      <c r="F44" s="19">
        <f>VLOOKUP('Item Look Up Table'!$A$8,'Item Look Up Table'!$A$1:$C$15,3,FALSE)</f>
        <v>265</v>
      </c>
    </row>
    <row r="45" spans="1:8" x14ac:dyDescent="0.25">
      <c r="A45" s="3">
        <v>44563</v>
      </c>
      <c r="B45" s="5" t="s">
        <v>18</v>
      </c>
      <c r="C45" s="5" t="s">
        <v>19</v>
      </c>
      <c r="D45" s="11">
        <v>3</v>
      </c>
      <c r="E45" s="11">
        <f>D45-VLOOKUP('Item Look Up Table'!$A$14,'Item Look Up Table'!$A$2:$B$15,2,FALSE)</f>
        <v>2.5</v>
      </c>
      <c r="F45" s="19">
        <f>VLOOKUP('Item Look Up Table'!$A$14,'Item Look Up Table'!$A$1:$C$15,3,FALSE)</f>
        <v>150</v>
      </c>
    </row>
    <row r="46" spans="1:8" x14ac:dyDescent="0.25">
      <c r="A46" s="3">
        <v>44563</v>
      </c>
      <c r="B46" s="5" t="s">
        <v>9</v>
      </c>
      <c r="C46" s="5" t="s">
        <v>14</v>
      </c>
      <c r="D46" s="11">
        <v>2.5</v>
      </c>
      <c r="E46" s="11">
        <f>D46-VLOOKUP('Item Look Up Table'!$A$15,'Item Look Up Table'!$A$2:$B$15,2,FALSE)</f>
        <v>1.5</v>
      </c>
      <c r="F46" s="19">
        <f>VLOOKUP('Item Look Up Table'!$A$15,'Item Look Up Table'!$A$1:$C$15,3,FALSE)</f>
        <v>120</v>
      </c>
    </row>
    <row r="47" spans="1:8" x14ac:dyDescent="0.25">
      <c r="A47" s="3">
        <v>44563</v>
      </c>
      <c r="B47" s="5" t="s">
        <v>12</v>
      </c>
      <c r="C47" s="5" t="s">
        <v>15</v>
      </c>
      <c r="D47" s="11">
        <v>2</v>
      </c>
      <c r="E47" s="11">
        <f>D47-VLOOKUP('Item Look Up Table'!$A$4,'Item Look Up Table'!$A$2:B$15,2,FALSE)</f>
        <v>1</v>
      </c>
      <c r="F47" s="19">
        <f>VLOOKUP('Item Look Up Table'!$A$4,'Item Look Up Table'!$A$1:$C$15,3,FALSE)</f>
        <v>255</v>
      </c>
    </row>
    <row r="48" spans="1:8" x14ac:dyDescent="0.25">
      <c r="A48" s="3">
        <v>44563</v>
      </c>
      <c r="B48" s="5" t="s">
        <v>18</v>
      </c>
      <c r="C48" s="5" t="s">
        <v>19</v>
      </c>
      <c r="D48" s="11">
        <v>3</v>
      </c>
      <c r="E48" s="11">
        <f>D48-VLOOKUP('Item Look Up Table'!$A$14,'Item Look Up Table'!$A$2:$B$15,2,FALSE)</f>
        <v>2.5</v>
      </c>
      <c r="F48" s="19">
        <f>VLOOKUP('Item Look Up Table'!$A$14,'Item Look Up Table'!$A$1:$C$15,3,FALSE)</f>
        <v>150</v>
      </c>
    </row>
    <row r="49" spans="1:6" x14ac:dyDescent="0.25">
      <c r="A49" s="3">
        <v>44563</v>
      </c>
      <c r="B49" s="5" t="s">
        <v>13</v>
      </c>
      <c r="C49" s="5" t="s">
        <v>15</v>
      </c>
      <c r="D49" s="11">
        <v>2</v>
      </c>
      <c r="E49" s="11">
        <f>D49-VLOOKUP('Item Look Up Table'!$A$6,'Item Look Up Table'!$A$2:B$15,2,FALSE)</f>
        <v>0</v>
      </c>
      <c r="F49" s="19">
        <f>VLOOKUP('Item Look Up Table'!$A$6,'Item Look Up Table'!$A$1:$C$15,3,FALSE)</f>
        <v>300</v>
      </c>
    </row>
    <row r="50" spans="1:6" x14ac:dyDescent="0.25">
      <c r="A50" s="3">
        <v>44563</v>
      </c>
      <c r="B50" s="5" t="s">
        <v>12</v>
      </c>
      <c r="C50" s="5" t="s">
        <v>15</v>
      </c>
      <c r="D50" s="11">
        <v>2</v>
      </c>
      <c r="E50" s="11">
        <f>D50-VLOOKUP('Item Look Up Table'!$A$4,'Item Look Up Table'!$A$2:B$15,2,FALSE)</f>
        <v>1</v>
      </c>
      <c r="F50" s="19">
        <f>VLOOKUP('Item Look Up Table'!$A$4,'Item Look Up Table'!$A$1:$C$15,3,FALSE)</f>
        <v>255</v>
      </c>
    </row>
    <row r="51" spans="1:6" x14ac:dyDescent="0.25">
      <c r="A51" s="3">
        <v>44563</v>
      </c>
      <c r="B51" s="5" t="s">
        <v>4</v>
      </c>
      <c r="C51" s="5" t="s">
        <v>3</v>
      </c>
      <c r="D51" s="11">
        <v>3</v>
      </c>
      <c r="E51" s="11">
        <f>D51-VLOOKUP('Item Look Up Table'!$A$11,'Item Look Up Table'!$A$2:$B$15,2,FALSE)</f>
        <v>0.5</v>
      </c>
      <c r="F51" s="19">
        <f>VLOOKUP('Item Look Up Table'!$A$11,'Item Look Up Table'!$A$1:$C$15,3,FALSE)</f>
        <v>560</v>
      </c>
    </row>
    <row r="52" spans="1:6" x14ac:dyDescent="0.25">
      <c r="A52" s="3">
        <v>44564</v>
      </c>
      <c r="B52" s="5" t="s">
        <v>17</v>
      </c>
      <c r="C52" s="5" t="s">
        <v>19</v>
      </c>
      <c r="D52" s="11">
        <v>3</v>
      </c>
      <c r="E52" s="11">
        <f>D52-VLOOKUP('Item Look Up Table'!$A$5,'Item Look Up Table'!$A$2:B$15,2,FALSE)</f>
        <v>2</v>
      </c>
      <c r="F52" s="19">
        <f>VLOOKUP('Item Look Up Table'!$A$5,'Item Look Up Table'!$A$1:$C$15,3,FALSE)</f>
        <v>300</v>
      </c>
    </row>
    <row r="53" spans="1:6" x14ac:dyDescent="0.25">
      <c r="A53" s="3">
        <v>44564</v>
      </c>
      <c r="B53" s="5" t="s">
        <v>4</v>
      </c>
      <c r="C53" s="5" t="s">
        <v>3</v>
      </c>
      <c r="D53" s="11">
        <v>3</v>
      </c>
      <c r="E53" s="11">
        <f>D53-VLOOKUP('Item Look Up Table'!$A$11,'Item Look Up Table'!$A$2:$B$15,2,FALSE)</f>
        <v>0.5</v>
      </c>
      <c r="F53" s="19">
        <f>VLOOKUP('Item Look Up Table'!$A$11,'Item Look Up Table'!$A$1:$C$15,3,FALSE)</f>
        <v>560</v>
      </c>
    </row>
    <row r="54" spans="1:6" x14ac:dyDescent="0.25">
      <c r="A54" s="3">
        <v>44564</v>
      </c>
      <c r="B54" s="5" t="s">
        <v>5</v>
      </c>
      <c r="C54" s="5" t="s">
        <v>3</v>
      </c>
      <c r="D54" s="11">
        <v>2</v>
      </c>
      <c r="E54" s="11">
        <f>D54-VLOOKUP('Item Look Up Table'!$A$12,'Item Look Up Table'!$A$2:$B$15,2,FALSE)</f>
        <v>1</v>
      </c>
      <c r="F54" s="19">
        <f>VLOOKUP('Item Look Up Table'!$A$12,'Item Look Up Table'!$A$1:$C$15,3,FALSE)</f>
        <v>480</v>
      </c>
    </row>
    <row r="55" spans="1:6" x14ac:dyDescent="0.25">
      <c r="A55" s="3">
        <v>44564</v>
      </c>
      <c r="B55" s="5" t="s">
        <v>12</v>
      </c>
      <c r="C55" s="5" t="s">
        <v>15</v>
      </c>
      <c r="D55" s="11">
        <v>2</v>
      </c>
      <c r="E55" s="11">
        <f>D55-VLOOKUP('Item Look Up Table'!$A$4,'Item Look Up Table'!$A$2:B$15,2,FALSE)</f>
        <v>1</v>
      </c>
      <c r="F55" s="19">
        <f>VLOOKUP('Item Look Up Table'!$A$4,'Item Look Up Table'!$A$1:$C$15,3,FALSE)</f>
        <v>255</v>
      </c>
    </row>
    <row r="56" spans="1:6" x14ac:dyDescent="0.25">
      <c r="A56" s="3">
        <v>44564</v>
      </c>
      <c r="B56" s="5" t="s">
        <v>5</v>
      </c>
      <c r="C56" s="5" t="s">
        <v>3</v>
      </c>
      <c r="D56" s="11">
        <v>2</v>
      </c>
      <c r="E56" s="11">
        <f>D56-VLOOKUP('Item Look Up Table'!$A$12,'Item Look Up Table'!$A$2:$B$15,2,FALSE)</f>
        <v>1</v>
      </c>
      <c r="F56" s="19">
        <f>VLOOKUP('Item Look Up Table'!$A$12,'Item Look Up Table'!$A$1:$C$15,3,FALSE)</f>
        <v>480</v>
      </c>
    </row>
    <row r="57" spans="1:6" x14ac:dyDescent="0.25">
      <c r="A57" s="3">
        <v>44564</v>
      </c>
      <c r="B57" s="5" t="s">
        <v>6</v>
      </c>
      <c r="C57" s="5" t="s">
        <v>3</v>
      </c>
      <c r="D57" s="11">
        <v>3</v>
      </c>
      <c r="E57" s="11">
        <f>D57-VLOOKUP('Item Look Up Table'!$A$7,'Item Look Up Table'!$A$2:$B$15,2,FALSE)</f>
        <v>1.5</v>
      </c>
      <c r="F57" s="19">
        <f>VLOOKUP('Item Look Up Table'!$A$7,'Item Look Up Table'!$A$1:$C$15,3,FALSE)</f>
        <v>320</v>
      </c>
    </row>
    <row r="58" spans="1:6" x14ac:dyDescent="0.25">
      <c r="A58" s="3">
        <v>44564</v>
      </c>
      <c r="B58" s="5" t="s">
        <v>4</v>
      </c>
      <c r="C58" s="5" t="s">
        <v>3</v>
      </c>
      <c r="D58" s="11">
        <v>3</v>
      </c>
      <c r="E58" s="11">
        <f>D58-VLOOKUP('Item Look Up Table'!$A$11,'Item Look Up Table'!$A$2:$B$15,2,FALSE)</f>
        <v>0.5</v>
      </c>
      <c r="F58" s="19">
        <f>VLOOKUP('Item Look Up Table'!$A$11,'Item Look Up Table'!$A$1:$C$15,3,FALSE)</f>
        <v>560</v>
      </c>
    </row>
    <row r="59" spans="1:6" x14ac:dyDescent="0.25">
      <c r="A59" s="3">
        <v>44564</v>
      </c>
      <c r="B59" s="5" t="s">
        <v>13</v>
      </c>
      <c r="C59" s="5" t="s">
        <v>15</v>
      </c>
      <c r="D59" s="11">
        <v>2</v>
      </c>
      <c r="E59" s="11">
        <f>D59-VLOOKUP('Item Look Up Table'!$A$6,'Item Look Up Table'!$A$2:B$15,2,FALSE)</f>
        <v>0</v>
      </c>
      <c r="F59" s="19">
        <f>VLOOKUP('Item Look Up Table'!$A$6,'Item Look Up Table'!$A$1:$C$15,3,FALSE)</f>
        <v>300</v>
      </c>
    </row>
    <row r="60" spans="1:6" x14ac:dyDescent="0.25">
      <c r="A60" s="3">
        <v>44564</v>
      </c>
      <c r="B60" s="5" t="s">
        <v>2</v>
      </c>
      <c r="C60" s="5" t="s">
        <v>3</v>
      </c>
      <c r="D60" s="11">
        <v>1.5</v>
      </c>
      <c r="E60" s="11">
        <f>D60-VLOOKUP('Item Look Up Table'!$A$8,'Item Look Up Table'!$A$2:$B$15,2,FALSE)</f>
        <v>1</v>
      </c>
      <c r="F60" s="19">
        <f>VLOOKUP('Item Look Up Table'!$A$8,'Item Look Up Table'!$A$1:$C$15,3,FALSE)</f>
        <v>265</v>
      </c>
    </row>
    <row r="61" spans="1:6" x14ac:dyDescent="0.25">
      <c r="A61" s="3">
        <v>44564</v>
      </c>
      <c r="B61" s="5" t="s">
        <v>4</v>
      </c>
      <c r="C61" s="5" t="s">
        <v>3</v>
      </c>
      <c r="D61" s="11">
        <v>3</v>
      </c>
      <c r="E61" s="11">
        <f>D61-VLOOKUP('Item Look Up Table'!$A$11,'Item Look Up Table'!$A$2:$B$15,2,FALSE)</f>
        <v>0.5</v>
      </c>
      <c r="F61" s="19">
        <f>VLOOKUP('Item Look Up Table'!$A$11,'Item Look Up Table'!$A$1:$C$15,3,FALSE)</f>
        <v>560</v>
      </c>
    </row>
    <row r="62" spans="1:6" x14ac:dyDescent="0.25">
      <c r="A62" s="3">
        <v>44564</v>
      </c>
      <c r="B62" s="5" t="s">
        <v>6</v>
      </c>
      <c r="C62" s="5" t="s">
        <v>3</v>
      </c>
      <c r="D62" s="11">
        <v>3</v>
      </c>
      <c r="E62" s="11">
        <f>D62-VLOOKUP('Item Look Up Table'!$A$7,'Item Look Up Table'!$A$2:$B$15,2,FALSE)</f>
        <v>1.5</v>
      </c>
      <c r="F62" s="19">
        <f>VLOOKUP('Item Look Up Table'!$A$7,'Item Look Up Table'!$A$1:$C$15,3,FALSE)</f>
        <v>320</v>
      </c>
    </row>
    <row r="63" spans="1:6" x14ac:dyDescent="0.25">
      <c r="A63" s="3">
        <v>44564</v>
      </c>
      <c r="B63" s="5" t="s">
        <v>2</v>
      </c>
      <c r="C63" s="5" t="s">
        <v>3</v>
      </c>
      <c r="D63" s="11">
        <v>1.5</v>
      </c>
      <c r="E63" s="11">
        <f>D63-VLOOKUP('Item Look Up Table'!$A$8,'Item Look Up Table'!$A$2:$B$15,2,FALSE)</f>
        <v>1</v>
      </c>
      <c r="F63" s="19">
        <f>VLOOKUP('Item Look Up Table'!$A$8,'Item Look Up Table'!$A$1:$C$15,3,FALSE)</f>
        <v>265</v>
      </c>
    </row>
    <row r="64" spans="1:6" x14ac:dyDescent="0.25">
      <c r="A64" s="3">
        <v>44564</v>
      </c>
      <c r="B64" s="5" t="s">
        <v>18</v>
      </c>
      <c r="C64" s="5" t="s">
        <v>19</v>
      </c>
      <c r="D64" s="11">
        <v>3</v>
      </c>
      <c r="E64" s="11">
        <f>D64-VLOOKUP('Item Look Up Table'!$A$14,'Item Look Up Table'!$A$2:$B$15,2,FALSE)</f>
        <v>2.5</v>
      </c>
      <c r="F64" s="19">
        <f>VLOOKUP('Item Look Up Table'!$A$14,'Item Look Up Table'!$A$1:$C$15,3,FALSE)</f>
        <v>150</v>
      </c>
    </row>
    <row r="65" spans="1:6" x14ac:dyDescent="0.25">
      <c r="A65" s="3">
        <v>44564</v>
      </c>
      <c r="B65" s="5" t="s">
        <v>18</v>
      </c>
      <c r="C65" s="5" t="s">
        <v>19</v>
      </c>
      <c r="D65" s="11">
        <v>3</v>
      </c>
      <c r="E65" s="11">
        <f>D65-VLOOKUP('Item Look Up Table'!$A$14,'Item Look Up Table'!$A$2:$B$15,2,FALSE)</f>
        <v>2.5</v>
      </c>
      <c r="F65" s="19">
        <f>VLOOKUP('Item Look Up Table'!$A$14,'Item Look Up Table'!$A$1:$C$15,3,FALSE)</f>
        <v>150</v>
      </c>
    </row>
    <row r="66" spans="1:6" x14ac:dyDescent="0.25">
      <c r="A66" s="3">
        <v>44564</v>
      </c>
      <c r="B66" s="5" t="s">
        <v>8</v>
      </c>
      <c r="C66" s="5" t="s">
        <v>14</v>
      </c>
      <c r="D66" s="11">
        <v>4</v>
      </c>
      <c r="E66" s="11">
        <f>D66-VLOOKUP('Item Look Up Table'!$A$2,'Item Look Up Table'!$A$2:$B$15,2,FALSE)</f>
        <v>2</v>
      </c>
      <c r="F66" s="19">
        <f>VLOOKUP('Item Look Up Table'!$A$2,'Item Look Up Table'!$A$1:$C$15,3,FALSE)</f>
        <v>200</v>
      </c>
    </row>
    <row r="67" spans="1:6" x14ac:dyDescent="0.25">
      <c r="A67" s="3">
        <v>44565</v>
      </c>
      <c r="B67" s="5" t="s">
        <v>8</v>
      </c>
      <c r="C67" s="5" t="s">
        <v>14</v>
      </c>
      <c r="D67" s="11">
        <v>4</v>
      </c>
      <c r="E67" s="11">
        <f>D67-VLOOKUP('Item Look Up Table'!$A$2,'Item Look Up Table'!$A$2:$B$15,2,FALSE)</f>
        <v>2</v>
      </c>
      <c r="F67" s="19">
        <f>VLOOKUP('Item Look Up Table'!$A$2,'Item Look Up Table'!$A$1:$C$15,3,FALSE)</f>
        <v>200</v>
      </c>
    </row>
    <row r="68" spans="1:6" x14ac:dyDescent="0.25">
      <c r="A68" s="3">
        <v>44565</v>
      </c>
      <c r="B68" s="5" t="s">
        <v>2</v>
      </c>
      <c r="C68" s="5" t="s">
        <v>3</v>
      </c>
      <c r="D68" s="11">
        <v>1.5</v>
      </c>
      <c r="E68" s="11">
        <f>D68-VLOOKUP('Item Look Up Table'!$A$8,'Item Look Up Table'!$A$2:$B$15,2,FALSE)</f>
        <v>1</v>
      </c>
      <c r="F68" s="19">
        <f>VLOOKUP('Item Look Up Table'!$A$8,'Item Look Up Table'!$A$1:$C$15,3,FALSE)</f>
        <v>265</v>
      </c>
    </row>
    <row r="69" spans="1:6" x14ac:dyDescent="0.25">
      <c r="A69" s="3">
        <v>44565</v>
      </c>
      <c r="B69" s="5" t="s">
        <v>11</v>
      </c>
      <c r="C69" s="5" t="s">
        <v>15</v>
      </c>
      <c r="D69" s="11">
        <v>2</v>
      </c>
      <c r="E69" s="11">
        <f>D69-VLOOKUP('Item Look Up Table'!$A$10,'Item Look Up Table'!$A$2:$B$15,2,FALSE)</f>
        <v>1</v>
      </c>
      <c r="F69" s="19">
        <f>VLOOKUP('Item Look Up Table'!$A$10,'Item Look Up Table'!$A$1:$C$15,3,FALSE)</f>
        <v>280</v>
      </c>
    </row>
    <row r="70" spans="1:6" x14ac:dyDescent="0.25">
      <c r="A70" s="3">
        <v>44565</v>
      </c>
      <c r="B70" s="5" t="s">
        <v>11</v>
      </c>
      <c r="C70" s="5" t="s">
        <v>15</v>
      </c>
      <c r="D70" s="11">
        <v>2</v>
      </c>
      <c r="E70" s="11">
        <f>D70-VLOOKUP('Item Look Up Table'!$A$10,'Item Look Up Table'!$A$2:$B$15,2,FALSE)</f>
        <v>1</v>
      </c>
      <c r="F70" s="19">
        <f>VLOOKUP('Item Look Up Table'!$A$10,'Item Look Up Table'!$A$1:$C$15,3,FALSE)</f>
        <v>280</v>
      </c>
    </row>
    <row r="71" spans="1:6" x14ac:dyDescent="0.25">
      <c r="A71" s="3">
        <v>44565</v>
      </c>
      <c r="B71" s="5" t="s">
        <v>8</v>
      </c>
      <c r="C71" s="5" t="s">
        <v>14</v>
      </c>
      <c r="D71" s="11">
        <v>4</v>
      </c>
      <c r="E71" s="11">
        <f>D71-VLOOKUP('Item Look Up Table'!$A$2,'Item Look Up Table'!$A$2:$B$15,2,FALSE)</f>
        <v>2</v>
      </c>
      <c r="F71" s="19">
        <f>VLOOKUP('Item Look Up Table'!$A$2,'Item Look Up Table'!$A$1:$C$15,3,FALSE)</f>
        <v>200</v>
      </c>
    </row>
    <row r="72" spans="1:6" x14ac:dyDescent="0.25">
      <c r="A72" s="3">
        <v>44565</v>
      </c>
      <c r="B72" s="5" t="s">
        <v>2</v>
      </c>
      <c r="C72" s="5" t="s">
        <v>3</v>
      </c>
      <c r="D72" s="11">
        <v>1.5</v>
      </c>
      <c r="E72" s="11">
        <f>D72-VLOOKUP('Item Look Up Table'!$A$8,'Item Look Up Table'!$A$2:$B$15,2,FALSE)</f>
        <v>1</v>
      </c>
      <c r="F72" s="19">
        <f>VLOOKUP('Item Look Up Table'!$A$8,'Item Look Up Table'!$A$1:$C$15,3,FALSE)</f>
        <v>265</v>
      </c>
    </row>
    <row r="73" spans="1:6" x14ac:dyDescent="0.25">
      <c r="A73" s="3">
        <v>44565</v>
      </c>
      <c r="B73" s="5" t="s">
        <v>8</v>
      </c>
      <c r="C73" s="5" t="s">
        <v>14</v>
      </c>
      <c r="D73" s="11">
        <v>4</v>
      </c>
      <c r="E73" s="11">
        <f>D73-VLOOKUP('Item Look Up Table'!$A$2,'Item Look Up Table'!$A$2:$B$15,2,FALSE)</f>
        <v>2</v>
      </c>
      <c r="F73" s="19">
        <f>VLOOKUP('Item Look Up Table'!$A$2,'Item Look Up Table'!$A$1:$C$15,3,FALSE)</f>
        <v>200</v>
      </c>
    </row>
    <row r="74" spans="1:6" x14ac:dyDescent="0.25">
      <c r="A74" s="3">
        <v>44565</v>
      </c>
      <c r="B74" s="5" t="s">
        <v>4</v>
      </c>
      <c r="C74" s="5" t="s">
        <v>3</v>
      </c>
      <c r="D74" s="11">
        <v>3</v>
      </c>
      <c r="E74" s="11">
        <f>D74-VLOOKUP('Item Look Up Table'!$A$11,'Item Look Up Table'!$A$2:$B$15,2,FALSE)</f>
        <v>0.5</v>
      </c>
      <c r="F74" s="19">
        <f>VLOOKUP('Item Look Up Table'!$A$11,'Item Look Up Table'!$A$1:$C$15,3,FALSE)</f>
        <v>560</v>
      </c>
    </row>
    <row r="75" spans="1:6" x14ac:dyDescent="0.25">
      <c r="A75" s="3">
        <v>44565</v>
      </c>
      <c r="B75" s="5" t="s">
        <v>4</v>
      </c>
      <c r="C75" s="5" t="s">
        <v>3</v>
      </c>
      <c r="D75" s="11">
        <v>3</v>
      </c>
      <c r="E75" s="11">
        <f>D75-VLOOKUP('Item Look Up Table'!$A$11,'Item Look Up Table'!$A$2:$B$15,2,FALSE)</f>
        <v>0.5</v>
      </c>
      <c r="F75" s="19">
        <f>VLOOKUP('Item Look Up Table'!$A$11,'Item Look Up Table'!$A$1:$C$15,3,FALSE)</f>
        <v>560</v>
      </c>
    </row>
    <row r="76" spans="1:6" x14ac:dyDescent="0.25">
      <c r="A76" s="3">
        <v>44565</v>
      </c>
      <c r="B76" s="5" t="s">
        <v>2</v>
      </c>
      <c r="C76" s="5" t="s">
        <v>3</v>
      </c>
      <c r="D76" s="11">
        <v>1.5</v>
      </c>
      <c r="E76" s="11">
        <f>D76-VLOOKUP('Item Look Up Table'!$A$8,'Item Look Up Table'!$A$2:$B$15,2,FALSE)</f>
        <v>1</v>
      </c>
      <c r="F76" s="19">
        <f>VLOOKUP('Item Look Up Table'!$A$8,'Item Look Up Table'!$A$1:$C$15,3,FALSE)</f>
        <v>265</v>
      </c>
    </row>
    <row r="77" spans="1:6" x14ac:dyDescent="0.25">
      <c r="A77" s="3">
        <v>44565</v>
      </c>
      <c r="B77" s="5" t="s">
        <v>4</v>
      </c>
      <c r="C77" s="5" t="s">
        <v>3</v>
      </c>
      <c r="D77" s="11">
        <v>3</v>
      </c>
      <c r="E77" s="11">
        <f>D77-VLOOKUP('Item Look Up Table'!$A$11,'Item Look Up Table'!$A$2:$B$15,2,FALSE)</f>
        <v>0.5</v>
      </c>
      <c r="F77" s="19">
        <f>VLOOKUP('Item Look Up Table'!$A$11,'Item Look Up Table'!$A$1:$C$15,3,FALSE)</f>
        <v>560</v>
      </c>
    </row>
    <row r="78" spans="1:6" x14ac:dyDescent="0.25">
      <c r="A78" s="3">
        <v>44565</v>
      </c>
      <c r="B78" s="5" t="s">
        <v>6</v>
      </c>
      <c r="C78" s="5" t="s">
        <v>3</v>
      </c>
      <c r="D78" s="11">
        <v>3</v>
      </c>
      <c r="E78" s="11">
        <f>D78-VLOOKUP('Item Look Up Table'!$A$7,'Item Look Up Table'!$A$2:$B$15,2,FALSE)</f>
        <v>1.5</v>
      </c>
      <c r="F78" s="19">
        <f>VLOOKUP('Item Look Up Table'!$A$7,'Item Look Up Table'!$A$1:$C$15,3,FALSE)</f>
        <v>320</v>
      </c>
    </row>
    <row r="79" spans="1:6" x14ac:dyDescent="0.25">
      <c r="A79" s="3">
        <v>44565</v>
      </c>
      <c r="B79" s="5" t="s">
        <v>11</v>
      </c>
      <c r="C79" s="5" t="s">
        <v>15</v>
      </c>
      <c r="D79" s="11">
        <v>2</v>
      </c>
      <c r="E79" s="11">
        <f>D79-VLOOKUP('Item Look Up Table'!$A$10,'Item Look Up Table'!$A$2:$B$15,2,FALSE)</f>
        <v>1</v>
      </c>
      <c r="F79" s="19">
        <f>VLOOKUP('Item Look Up Table'!$A$10,'Item Look Up Table'!$A$1:$C$15,3,FALSE)</f>
        <v>280</v>
      </c>
    </row>
    <row r="80" spans="1:6" x14ac:dyDescent="0.25">
      <c r="A80" s="3">
        <v>44565</v>
      </c>
      <c r="B80" s="5" t="s">
        <v>8</v>
      </c>
      <c r="C80" s="5" t="s">
        <v>14</v>
      </c>
      <c r="D80" s="11">
        <v>4</v>
      </c>
      <c r="E80" s="11">
        <f>D80-VLOOKUP('Item Look Up Table'!$A$2,'Item Look Up Table'!$A$2:$B$15,2,FALSE)</f>
        <v>2</v>
      </c>
      <c r="F80" s="19">
        <f>VLOOKUP('Item Look Up Table'!$A$2,'Item Look Up Table'!$A$1:$C$15,3,FALSE)</f>
        <v>200</v>
      </c>
    </row>
    <row r="81" spans="1:6" x14ac:dyDescent="0.25">
      <c r="A81" s="3">
        <v>44565</v>
      </c>
      <c r="B81" s="5" t="s">
        <v>18</v>
      </c>
      <c r="C81" s="5" t="s">
        <v>19</v>
      </c>
      <c r="D81" s="11">
        <v>3</v>
      </c>
      <c r="E81" s="11">
        <f>D81-VLOOKUP('Item Look Up Table'!$A$14,'Item Look Up Table'!$A$2:$B$15,2,FALSE)</f>
        <v>2.5</v>
      </c>
      <c r="F81" s="19">
        <f>VLOOKUP('Item Look Up Table'!$A$14,'Item Look Up Table'!$A$1:$C$15,3,FALSE)</f>
        <v>150</v>
      </c>
    </row>
    <row r="82" spans="1:6" x14ac:dyDescent="0.25">
      <c r="A82" s="3">
        <v>44567</v>
      </c>
      <c r="B82" s="5" t="s">
        <v>8</v>
      </c>
      <c r="C82" s="5" t="s">
        <v>14</v>
      </c>
      <c r="D82" s="11">
        <v>4</v>
      </c>
      <c r="E82" s="11">
        <f>D82-VLOOKUP('Item Look Up Table'!$A$2,'Item Look Up Table'!$A$2:$B$15,2,FALSE)</f>
        <v>2</v>
      </c>
      <c r="F82" s="19">
        <f>VLOOKUP('Item Look Up Table'!$A$2,'Item Look Up Table'!$A$1:$C$15,3,FALSE)</f>
        <v>200</v>
      </c>
    </row>
    <row r="83" spans="1:6" x14ac:dyDescent="0.25">
      <c r="A83" s="3">
        <v>44567</v>
      </c>
      <c r="B83" s="5" t="s">
        <v>9</v>
      </c>
      <c r="C83" s="5" t="s">
        <v>14</v>
      </c>
      <c r="D83" s="11">
        <v>2.5</v>
      </c>
      <c r="E83" s="11">
        <f>D83-VLOOKUP('Item Look Up Table'!$A$15,'Item Look Up Table'!$A$2:$B$15,2,FALSE)</f>
        <v>1.5</v>
      </c>
      <c r="F83" s="19">
        <f>VLOOKUP('Item Look Up Table'!$A$15,'Item Look Up Table'!$A$1:$C$15,3,FALSE)</f>
        <v>120</v>
      </c>
    </row>
    <row r="84" spans="1:6" x14ac:dyDescent="0.25">
      <c r="A84" s="3">
        <v>44567</v>
      </c>
      <c r="B84" s="5" t="s">
        <v>8</v>
      </c>
      <c r="C84" s="5" t="s">
        <v>14</v>
      </c>
      <c r="D84" s="11">
        <v>4</v>
      </c>
      <c r="E84" s="11">
        <f>D84-VLOOKUP('Item Look Up Table'!$A$2,'Item Look Up Table'!$A$2:$B$15,2,FALSE)</f>
        <v>2</v>
      </c>
      <c r="F84" s="19">
        <f>VLOOKUP('Item Look Up Table'!$A$2,'Item Look Up Table'!$A$1:$C$15,3,FALSE)</f>
        <v>200</v>
      </c>
    </row>
    <row r="85" spans="1:6" x14ac:dyDescent="0.25">
      <c r="A85" s="3">
        <v>44567</v>
      </c>
      <c r="B85" s="5" t="s">
        <v>6</v>
      </c>
      <c r="C85" s="5" t="s">
        <v>3</v>
      </c>
      <c r="D85" s="11">
        <v>3</v>
      </c>
      <c r="E85" s="11">
        <f>D85-VLOOKUP('Item Look Up Table'!$A$7,'Item Look Up Table'!$A$2:$B$15,2,FALSE)</f>
        <v>1.5</v>
      </c>
      <c r="F85" s="19">
        <f>VLOOKUP('Item Look Up Table'!$A$7,'Item Look Up Table'!$A$1:$C$15,3,FALSE)</f>
        <v>320</v>
      </c>
    </row>
    <row r="86" spans="1:6" x14ac:dyDescent="0.25">
      <c r="A86" s="3">
        <v>44567</v>
      </c>
      <c r="B86" s="5" t="s">
        <v>13</v>
      </c>
      <c r="C86" s="5" t="s">
        <v>15</v>
      </c>
      <c r="D86" s="11">
        <v>2</v>
      </c>
      <c r="E86" s="11">
        <f>D86-VLOOKUP('Item Look Up Table'!$A$6,'Item Look Up Table'!$A$2:B$15,2,FALSE)</f>
        <v>0</v>
      </c>
      <c r="F86" s="19">
        <f>VLOOKUP('Item Look Up Table'!$A$6,'Item Look Up Table'!$A$1:$C$15,3,FALSE)</f>
        <v>300</v>
      </c>
    </row>
    <row r="87" spans="1:6" x14ac:dyDescent="0.25">
      <c r="A87" s="3">
        <v>44567</v>
      </c>
      <c r="B87" s="5" t="s">
        <v>7</v>
      </c>
      <c r="C87" s="5" t="s">
        <v>3</v>
      </c>
      <c r="D87" s="11">
        <v>5</v>
      </c>
      <c r="E87" s="11">
        <f>D87-VLOOKUP('Item Look Up Table'!$A$13,'Item Look Up Table'!$A$2:$B$15,2,FALSE)</f>
        <v>4.5</v>
      </c>
      <c r="F87" s="19">
        <f>VLOOKUP('Item Look Up Table'!$A$13,'Item Look Up Table'!$A$1:$C$15,3,FALSE)</f>
        <v>500</v>
      </c>
    </row>
    <row r="88" spans="1:6" x14ac:dyDescent="0.25">
      <c r="A88" s="3">
        <v>44567</v>
      </c>
      <c r="B88" s="5" t="s">
        <v>6</v>
      </c>
      <c r="C88" s="5" t="s">
        <v>3</v>
      </c>
      <c r="D88" s="11">
        <v>3</v>
      </c>
      <c r="E88" s="11">
        <f>D88-VLOOKUP('Item Look Up Table'!$A$7,'Item Look Up Table'!$A$2:$B$15,2,FALSE)</f>
        <v>1.5</v>
      </c>
      <c r="F88" s="19">
        <f>VLOOKUP('Item Look Up Table'!$A$7,'Item Look Up Table'!$A$1:$C$15,3,FALSE)</f>
        <v>320</v>
      </c>
    </row>
    <row r="89" spans="1:6" x14ac:dyDescent="0.25">
      <c r="A89" s="3">
        <v>44567</v>
      </c>
      <c r="B89" s="5" t="s">
        <v>4</v>
      </c>
      <c r="C89" s="5" t="s">
        <v>3</v>
      </c>
      <c r="D89" s="11">
        <v>3</v>
      </c>
      <c r="E89" s="11">
        <f>D89-VLOOKUP('Item Look Up Table'!$A$11,'Item Look Up Table'!$A$2:$B$15,2,FALSE)</f>
        <v>0.5</v>
      </c>
      <c r="F89" s="19">
        <f>VLOOKUP('Item Look Up Table'!$A$11,'Item Look Up Table'!$A$1:$C$15,3,FALSE)</f>
        <v>560</v>
      </c>
    </row>
    <row r="90" spans="1:6" x14ac:dyDescent="0.25">
      <c r="A90" s="3">
        <v>44567</v>
      </c>
      <c r="B90" s="5" t="s">
        <v>17</v>
      </c>
      <c r="C90" s="5" t="s">
        <v>19</v>
      </c>
      <c r="D90" s="11">
        <v>3</v>
      </c>
      <c r="E90" s="11">
        <f>D90-VLOOKUP('Item Look Up Table'!$A$5,'Item Look Up Table'!$A$2:B$15,2,FALSE)</f>
        <v>2</v>
      </c>
      <c r="F90" s="19">
        <f>VLOOKUP('Item Look Up Table'!$A$5,'Item Look Up Table'!$A$1:$C$15,3,FALSE)</f>
        <v>300</v>
      </c>
    </row>
    <row r="91" spans="1:6" x14ac:dyDescent="0.25">
      <c r="A91" s="3">
        <v>44567</v>
      </c>
      <c r="B91" s="5" t="s">
        <v>11</v>
      </c>
      <c r="C91" s="5" t="s">
        <v>15</v>
      </c>
      <c r="D91" s="11">
        <v>2</v>
      </c>
      <c r="E91" s="11">
        <f>D91-VLOOKUP('Item Look Up Table'!$A$10,'Item Look Up Table'!$A$2:$B$15,2,FALSE)</f>
        <v>1</v>
      </c>
      <c r="F91" s="19">
        <f>VLOOKUP('Item Look Up Table'!$A$10,'Item Look Up Table'!$A$1:$C$15,3,FALSE)</f>
        <v>280</v>
      </c>
    </row>
    <row r="92" spans="1:6" x14ac:dyDescent="0.25">
      <c r="A92" s="3">
        <v>44567</v>
      </c>
      <c r="B92" s="5" t="s">
        <v>4</v>
      </c>
      <c r="C92" s="5" t="s">
        <v>3</v>
      </c>
      <c r="D92" s="11">
        <v>3</v>
      </c>
      <c r="E92" s="11">
        <f>D92-VLOOKUP('Item Look Up Table'!$A$11,'Item Look Up Table'!$A$2:$B$15,2,FALSE)</f>
        <v>0.5</v>
      </c>
      <c r="F92" s="19">
        <f>VLOOKUP('Item Look Up Table'!$A$11,'Item Look Up Table'!$A$1:$C$15,3,FALSE)</f>
        <v>560</v>
      </c>
    </row>
    <row r="93" spans="1:6" x14ac:dyDescent="0.25">
      <c r="A93" s="3">
        <v>44567</v>
      </c>
      <c r="B93" s="5" t="s">
        <v>7</v>
      </c>
      <c r="C93" s="5" t="s">
        <v>3</v>
      </c>
      <c r="D93" s="11">
        <v>5</v>
      </c>
      <c r="E93" s="11">
        <f>D93-VLOOKUP('Item Look Up Table'!$A$13,'Item Look Up Table'!$A$2:$B$15,2,FALSE)</f>
        <v>4.5</v>
      </c>
      <c r="F93" s="19">
        <f>VLOOKUP('Item Look Up Table'!$A$13,'Item Look Up Table'!$A$1:$C$15,3,FALSE)</f>
        <v>500</v>
      </c>
    </row>
    <row r="94" spans="1:6" x14ac:dyDescent="0.25">
      <c r="A94" s="3">
        <v>44567</v>
      </c>
      <c r="B94" s="5" t="s">
        <v>12</v>
      </c>
      <c r="C94" s="5" t="s">
        <v>15</v>
      </c>
      <c r="D94" s="11">
        <v>2</v>
      </c>
      <c r="E94" s="11">
        <f>D94-VLOOKUP('Item Look Up Table'!$A$4,'Item Look Up Table'!$A$2:B$15,2,FALSE)</f>
        <v>1</v>
      </c>
      <c r="F94" s="19">
        <f>VLOOKUP('Item Look Up Table'!$A$4,'Item Look Up Table'!$A$1:$C$15,3,FALSE)</f>
        <v>255</v>
      </c>
    </row>
    <row r="95" spans="1:6" x14ac:dyDescent="0.25">
      <c r="A95" s="3">
        <v>44567</v>
      </c>
      <c r="B95" s="5" t="s">
        <v>2</v>
      </c>
      <c r="C95" s="5" t="s">
        <v>3</v>
      </c>
      <c r="D95" s="11">
        <v>1.5</v>
      </c>
      <c r="E95" s="11">
        <f>D95-VLOOKUP('Item Look Up Table'!$A$8,'Item Look Up Table'!$A$2:$B$15,2,FALSE)</f>
        <v>1</v>
      </c>
      <c r="F95" s="19">
        <f>VLOOKUP('Item Look Up Table'!$A$8,'Item Look Up Table'!$A$1:$C$15,3,FALSE)</f>
        <v>265</v>
      </c>
    </row>
    <row r="96" spans="1:6" x14ac:dyDescent="0.25">
      <c r="A96" s="3">
        <v>44567</v>
      </c>
      <c r="B96" s="5" t="s">
        <v>7</v>
      </c>
      <c r="C96" s="5" t="s">
        <v>3</v>
      </c>
      <c r="D96" s="11">
        <v>5</v>
      </c>
      <c r="E96" s="11">
        <f>D96-VLOOKUP('Item Look Up Table'!$A$13,'Item Look Up Table'!$A$2:$B$15,2,FALSE)</f>
        <v>4.5</v>
      </c>
      <c r="F96" s="19">
        <f>VLOOKUP('Item Look Up Table'!$A$13,'Item Look Up Table'!$A$1:$C$15,3,FALSE)</f>
        <v>500</v>
      </c>
    </row>
    <row r="97" spans="1:6" x14ac:dyDescent="0.25">
      <c r="A97" s="3">
        <v>44567</v>
      </c>
      <c r="B97" s="5" t="s">
        <v>8</v>
      </c>
      <c r="C97" s="5" t="s">
        <v>14</v>
      </c>
      <c r="D97" s="11">
        <v>4</v>
      </c>
      <c r="E97" s="11">
        <f>D97-VLOOKUP('Item Look Up Table'!$A$2,'Item Look Up Table'!$A$2:$B$15,2,FALSE)</f>
        <v>2</v>
      </c>
      <c r="F97" s="19">
        <f>VLOOKUP('Item Look Up Table'!$A$2,'Item Look Up Table'!$A$1:$C$15,3,FALSE)</f>
        <v>200</v>
      </c>
    </row>
    <row r="98" spans="1:6" x14ac:dyDescent="0.25">
      <c r="A98" s="3">
        <v>44567</v>
      </c>
      <c r="B98" s="5" t="s">
        <v>5</v>
      </c>
      <c r="C98" s="5" t="s">
        <v>3</v>
      </c>
      <c r="D98" s="11">
        <v>2</v>
      </c>
      <c r="E98" s="11">
        <f>D98-VLOOKUP('Item Look Up Table'!$A$12,'Item Look Up Table'!$A$2:$B$15,2,FALSE)</f>
        <v>1</v>
      </c>
      <c r="F98" s="19">
        <f>VLOOKUP('Item Look Up Table'!$A$12,'Item Look Up Table'!$A$1:$C$15,3,FALSE)</f>
        <v>480</v>
      </c>
    </row>
    <row r="99" spans="1:6" x14ac:dyDescent="0.25">
      <c r="A99" s="3">
        <v>44567</v>
      </c>
      <c r="B99" s="5" t="s">
        <v>10</v>
      </c>
      <c r="C99" s="5" t="s">
        <v>14</v>
      </c>
      <c r="D99" s="11">
        <v>3</v>
      </c>
      <c r="E99" s="11">
        <f>D99-VLOOKUP('Item Look Up Table'!$A$3,'Item Look Up Table'!$A$2:B$15,2,FALSE)</f>
        <v>2.5</v>
      </c>
      <c r="F99" s="19">
        <f>VLOOKUP('Item Look Up Table'!$A$3,'Item Look Up Table'!$A$1:$C$15,3,FALSE)</f>
        <v>0</v>
      </c>
    </row>
    <row r="100" spans="1:6" x14ac:dyDescent="0.25">
      <c r="A100" s="3">
        <v>44567</v>
      </c>
      <c r="B100" s="5" t="s">
        <v>6</v>
      </c>
      <c r="C100" s="5" t="s">
        <v>3</v>
      </c>
      <c r="D100" s="11">
        <v>3</v>
      </c>
      <c r="E100" s="11">
        <f>D100-VLOOKUP('Item Look Up Table'!$A$7,'Item Look Up Table'!$A$2:$B$15,2,FALSE)</f>
        <v>1.5</v>
      </c>
      <c r="F100" s="19">
        <f>VLOOKUP('Item Look Up Table'!$A$7,'Item Look Up Table'!$A$1:$C$15,3,FALSE)</f>
        <v>320</v>
      </c>
    </row>
    <row r="101" spans="1:6" x14ac:dyDescent="0.25">
      <c r="A101" s="3">
        <v>44567</v>
      </c>
      <c r="B101" s="5" t="s">
        <v>17</v>
      </c>
      <c r="C101" s="5" t="s">
        <v>19</v>
      </c>
      <c r="D101" s="11">
        <v>3</v>
      </c>
      <c r="E101" s="11">
        <f>D101-VLOOKUP('Item Look Up Table'!$A$5,'Item Look Up Table'!$A$2:B$15,2,FALSE)</f>
        <v>2</v>
      </c>
      <c r="F101" s="19">
        <f>VLOOKUP('Item Look Up Table'!$A$5,'Item Look Up Table'!$A$1:$C$15,3,FALSE)</f>
        <v>300</v>
      </c>
    </row>
    <row r="102" spans="1:6" x14ac:dyDescent="0.25">
      <c r="A102" s="3">
        <v>44567</v>
      </c>
      <c r="B102" s="5" t="s">
        <v>7</v>
      </c>
      <c r="C102" s="5" t="s">
        <v>3</v>
      </c>
      <c r="D102" s="11">
        <v>5</v>
      </c>
      <c r="E102" s="11">
        <f>D102-VLOOKUP('Item Look Up Table'!$A$13,'Item Look Up Table'!$A$2:$B$15,2,FALSE)</f>
        <v>4.5</v>
      </c>
      <c r="F102" s="19">
        <f>VLOOKUP('Item Look Up Table'!$A$13,'Item Look Up Table'!$A$1:$C$15,3,FALSE)</f>
        <v>500</v>
      </c>
    </row>
    <row r="103" spans="1:6" x14ac:dyDescent="0.25">
      <c r="A103" s="3">
        <v>44567</v>
      </c>
      <c r="B103" s="5" t="s">
        <v>2</v>
      </c>
      <c r="C103" s="5" t="s">
        <v>3</v>
      </c>
      <c r="D103" s="11">
        <v>1.5</v>
      </c>
      <c r="E103" s="11">
        <f>D103-VLOOKUP('Item Look Up Table'!$A$8,'Item Look Up Table'!$A$2:$B$15,2,FALSE)</f>
        <v>1</v>
      </c>
      <c r="F103" s="19">
        <f>VLOOKUP('Item Look Up Table'!$A$8,'Item Look Up Table'!$A$1:$C$15,3,FALSE)</f>
        <v>265</v>
      </c>
    </row>
    <row r="104" spans="1:6" x14ac:dyDescent="0.25">
      <c r="A104" s="3">
        <v>44567</v>
      </c>
      <c r="B104" s="5" t="s">
        <v>16</v>
      </c>
      <c r="C104" s="5" t="s">
        <v>19</v>
      </c>
      <c r="D104" s="11">
        <v>3</v>
      </c>
      <c r="E104" s="11">
        <f>D104-VLOOKUP('Item Look Up Table'!$A$9,'Item Look Up Table'!$A$2:$B$15,2,FALSE)</f>
        <v>1.5</v>
      </c>
      <c r="F104" s="19">
        <f>VLOOKUP('Item Look Up Table'!$A$9,'Item Look Up Table'!$A$1:$C$15,3,FALSE)</f>
        <v>240</v>
      </c>
    </row>
    <row r="105" spans="1:6" x14ac:dyDescent="0.25">
      <c r="A105" s="3">
        <v>44567</v>
      </c>
      <c r="B105" s="5" t="s">
        <v>12</v>
      </c>
      <c r="C105" s="5" t="s">
        <v>15</v>
      </c>
      <c r="D105" s="11">
        <v>2</v>
      </c>
      <c r="E105" s="11">
        <f>D105-VLOOKUP('Item Look Up Table'!$A$4,'Item Look Up Table'!$A$2:B$15,2,FALSE)</f>
        <v>1</v>
      </c>
      <c r="F105" s="19">
        <f>VLOOKUP('Item Look Up Table'!$A$4,'Item Look Up Table'!$A$1:$C$15,3,FALSE)</f>
        <v>255</v>
      </c>
    </row>
    <row r="106" spans="1:6" x14ac:dyDescent="0.25">
      <c r="A106" s="3">
        <v>44567</v>
      </c>
      <c r="B106" s="5" t="s">
        <v>4</v>
      </c>
      <c r="C106" s="5" t="s">
        <v>3</v>
      </c>
      <c r="D106" s="11">
        <v>3</v>
      </c>
      <c r="E106" s="11">
        <f>D106-VLOOKUP('Item Look Up Table'!$A$11,'Item Look Up Table'!$A$2:$B$15,2,FALSE)</f>
        <v>0.5</v>
      </c>
      <c r="F106" s="19">
        <f>VLOOKUP('Item Look Up Table'!$A$11,'Item Look Up Table'!$A$1:$C$15,3,FALSE)</f>
        <v>560</v>
      </c>
    </row>
    <row r="107" spans="1:6" x14ac:dyDescent="0.25">
      <c r="A107" s="3">
        <v>44567</v>
      </c>
      <c r="B107" s="5" t="s">
        <v>18</v>
      </c>
      <c r="C107" s="5" t="s">
        <v>19</v>
      </c>
      <c r="D107" s="11">
        <v>3</v>
      </c>
      <c r="E107" s="11">
        <f>D107-VLOOKUP('Item Look Up Table'!$A$14,'Item Look Up Table'!$A$2:$B$15,2,FALSE)</f>
        <v>2.5</v>
      </c>
      <c r="F107" s="19">
        <f>VLOOKUP('Item Look Up Table'!$A$14,'Item Look Up Table'!$A$1:$C$15,3,FALSE)</f>
        <v>150</v>
      </c>
    </row>
    <row r="108" spans="1:6" x14ac:dyDescent="0.25">
      <c r="A108" s="3">
        <v>44567</v>
      </c>
      <c r="B108" s="5" t="s">
        <v>7</v>
      </c>
      <c r="C108" s="5" t="s">
        <v>3</v>
      </c>
      <c r="D108" s="11">
        <v>5</v>
      </c>
      <c r="E108" s="11">
        <f>D108-VLOOKUP('Item Look Up Table'!$A$13,'Item Look Up Table'!$A$2:$B$15,2,FALSE)</f>
        <v>4.5</v>
      </c>
      <c r="F108" s="19">
        <f>VLOOKUP('Item Look Up Table'!$A$13,'Item Look Up Table'!$A$1:$C$15,3,FALSE)</f>
        <v>500</v>
      </c>
    </row>
    <row r="109" spans="1:6" x14ac:dyDescent="0.25">
      <c r="A109" s="3">
        <v>44567</v>
      </c>
      <c r="B109" s="5" t="s">
        <v>7</v>
      </c>
      <c r="C109" s="5" t="s">
        <v>3</v>
      </c>
      <c r="D109" s="11">
        <v>5</v>
      </c>
      <c r="E109" s="11">
        <f>D109-VLOOKUP('Item Look Up Table'!$A$13,'Item Look Up Table'!$A$2:$B$15,2,FALSE)</f>
        <v>4.5</v>
      </c>
      <c r="F109" s="19">
        <f>VLOOKUP('Item Look Up Table'!$A$13,'Item Look Up Table'!$A$1:$C$15,3,FALSE)</f>
        <v>500</v>
      </c>
    </row>
    <row r="110" spans="1:6" x14ac:dyDescent="0.25">
      <c r="A110" s="3">
        <v>44567</v>
      </c>
      <c r="B110" s="5" t="s">
        <v>10</v>
      </c>
      <c r="C110" s="5" t="s">
        <v>14</v>
      </c>
      <c r="D110" s="11">
        <v>3</v>
      </c>
      <c r="E110" s="11">
        <f>D110-VLOOKUP('Item Look Up Table'!$A$3,'Item Look Up Table'!$A$2:B$15,2,FALSE)</f>
        <v>2.5</v>
      </c>
      <c r="F110" s="19">
        <f>VLOOKUP('Item Look Up Table'!$A$3,'Item Look Up Table'!$A$1:$C$15,3,FALSE)</f>
        <v>0</v>
      </c>
    </row>
    <row r="111" spans="1:6" x14ac:dyDescent="0.25">
      <c r="A111" s="3">
        <v>44567</v>
      </c>
      <c r="B111" s="5" t="s">
        <v>6</v>
      </c>
      <c r="C111" s="5" t="s">
        <v>3</v>
      </c>
      <c r="D111" s="11">
        <v>3</v>
      </c>
      <c r="E111" s="11">
        <f>D111-VLOOKUP('Item Look Up Table'!$A$7,'Item Look Up Table'!$A$2:$B$15,2,FALSE)</f>
        <v>1.5</v>
      </c>
      <c r="F111" s="19">
        <f>VLOOKUP('Item Look Up Table'!$A$7,'Item Look Up Table'!$A$1:$C$15,3,FALSE)</f>
        <v>320</v>
      </c>
    </row>
    <row r="112" spans="1:6" x14ac:dyDescent="0.25">
      <c r="A112" s="3">
        <v>44567</v>
      </c>
      <c r="B112" s="5" t="s">
        <v>5</v>
      </c>
      <c r="C112" s="5" t="s">
        <v>3</v>
      </c>
      <c r="D112" s="11">
        <v>2</v>
      </c>
      <c r="E112" s="11">
        <f>D112-VLOOKUP('Item Look Up Table'!$A$12,'Item Look Up Table'!$A$2:$B$15,2,FALSE)</f>
        <v>1</v>
      </c>
      <c r="F112" s="19">
        <f>VLOOKUP('Item Look Up Table'!$A$12,'Item Look Up Table'!$A$1:$C$15,3,FALSE)</f>
        <v>480</v>
      </c>
    </row>
    <row r="113" spans="1:6" x14ac:dyDescent="0.25">
      <c r="A113" s="3">
        <v>44567</v>
      </c>
      <c r="B113" s="5" t="s">
        <v>18</v>
      </c>
      <c r="C113" s="5" t="s">
        <v>19</v>
      </c>
      <c r="D113" s="11">
        <v>3</v>
      </c>
      <c r="E113" s="11">
        <f>D113-VLOOKUP('Item Look Up Table'!$A$14,'Item Look Up Table'!$A$2:$B$15,2,FALSE)</f>
        <v>2.5</v>
      </c>
      <c r="F113" s="19">
        <f>VLOOKUP('Item Look Up Table'!$A$14,'Item Look Up Table'!$A$1:$C$15,3,FALSE)</f>
        <v>150</v>
      </c>
    </row>
    <row r="114" spans="1:6" x14ac:dyDescent="0.25">
      <c r="A114" s="3">
        <v>44567</v>
      </c>
      <c r="B114" s="5" t="s">
        <v>18</v>
      </c>
      <c r="C114" s="5" t="s">
        <v>19</v>
      </c>
      <c r="D114" s="11">
        <v>3</v>
      </c>
      <c r="E114" s="11">
        <f>D114-VLOOKUP('Item Look Up Table'!$A$14,'Item Look Up Table'!$A$2:$B$15,2,FALSE)</f>
        <v>2.5</v>
      </c>
      <c r="F114" s="19">
        <f>VLOOKUP('Item Look Up Table'!$A$14,'Item Look Up Table'!$A$1:$C$15,3,FALSE)</f>
        <v>150</v>
      </c>
    </row>
    <row r="115" spans="1:6" x14ac:dyDescent="0.25">
      <c r="A115" s="3">
        <v>44567</v>
      </c>
      <c r="B115" s="5" t="s">
        <v>13</v>
      </c>
      <c r="C115" s="5" t="s">
        <v>15</v>
      </c>
      <c r="D115" s="11">
        <v>2</v>
      </c>
      <c r="E115" s="11">
        <f>D115-VLOOKUP('Item Look Up Table'!$A$6,'Item Look Up Table'!$A$2:B$15,2,FALSE)</f>
        <v>0</v>
      </c>
      <c r="F115" s="19">
        <f>VLOOKUP('Item Look Up Table'!$A$6,'Item Look Up Table'!$A$1:$C$15,3,FALSE)</f>
        <v>300</v>
      </c>
    </row>
    <row r="116" spans="1:6" x14ac:dyDescent="0.25">
      <c r="A116" s="3">
        <v>44567</v>
      </c>
      <c r="B116" s="5" t="s">
        <v>5</v>
      </c>
      <c r="C116" s="5" t="s">
        <v>3</v>
      </c>
      <c r="D116" s="11">
        <v>2</v>
      </c>
      <c r="E116" s="11">
        <f>D116-VLOOKUP('Item Look Up Table'!$A$12,'Item Look Up Table'!$A$2:$B$15,2,FALSE)</f>
        <v>1</v>
      </c>
      <c r="F116" s="19">
        <f>VLOOKUP('Item Look Up Table'!$A$12,'Item Look Up Table'!$A$1:$C$15,3,FALSE)</f>
        <v>480</v>
      </c>
    </row>
    <row r="117" spans="1:6" x14ac:dyDescent="0.25">
      <c r="A117" s="3">
        <v>44567</v>
      </c>
      <c r="B117" s="5" t="s">
        <v>8</v>
      </c>
      <c r="C117" s="5" t="s">
        <v>14</v>
      </c>
      <c r="D117" s="11">
        <v>4</v>
      </c>
      <c r="E117" s="11">
        <f>D117-VLOOKUP('Item Look Up Table'!$A$2,'Item Look Up Table'!$A$2:$B$15,2,FALSE)</f>
        <v>2</v>
      </c>
      <c r="F117" s="19">
        <f>VLOOKUP('Item Look Up Table'!$A$2,'Item Look Up Table'!$A$1:$C$15,3,FALSE)</f>
        <v>200</v>
      </c>
    </row>
    <row r="118" spans="1:6" x14ac:dyDescent="0.25">
      <c r="A118" s="3">
        <v>44567</v>
      </c>
      <c r="B118" s="5" t="s">
        <v>7</v>
      </c>
      <c r="C118" s="5" t="s">
        <v>3</v>
      </c>
      <c r="D118" s="11">
        <v>5</v>
      </c>
      <c r="E118" s="11">
        <f>D118-VLOOKUP('Item Look Up Table'!$A$13,'Item Look Up Table'!$A$2:$B$15,2,FALSE)</f>
        <v>4.5</v>
      </c>
      <c r="F118" s="19">
        <f>VLOOKUP('Item Look Up Table'!$A$13,'Item Look Up Table'!$A$1:$C$15,3,FALSE)</f>
        <v>500</v>
      </c>
    </row>
    <row r="119" spans="1:6" x14ac:dyDescent="0.25">
      <c r="A119" s="3">
        <v>44567</v>
      </c>
      <c r="B119" s="5" t="s">
        <v>18</v>
      </c>
      <c r="C119" s="5" t="s">
        <v>19</v>
      </c>
      <c r="D119" s="11">
        <v>3</v>
      </c>
      <c r="E119" s="11">
        <f>D119-VLOOKUP('Item Look Up Table'!$A$14,'Item Look Up Table'!$A$2:$B$15,2,FALSE)</f>
        <v>2.5</v>
      </c>
      <c r="F119" s="19">
        <f>VLOOKUP('Item Look Up Table'!$A$14,'Item Look Up Table'!$A$1:$C$15,3,FALSE)</f>
        <v>150</v>
      </c>
    </row>
    <row r="120" spans="1:6" x14ac:dyDescent="0.25">
      <c r="A120" s="3">
        <v>44567</v>
      </c>
      <c r="B120" s="5" t="s">
        <v>2</v>
      </c>
      <c r="C120" s="5" t="s">
        <v>3</v>
      </c>
      <c r="D120" s="11">
        <v>1.5</v>
      </c>
      <c r="E120" s="11">
        <f>D120-VLOOKUP('Item Look Up Table'!$A$8,'Item Look Up Table'!$A$2:$B$15,2,FALSE)</f>
        <v>1</v>
      </c>
      <c r="F120" s="19">
        <f>VLOOKUP('Item Look Up Table'!$A$8,'Item Look Up Table'!$A$1:$C$15,3,FALSE)</f>
        <v>265</v>
      </c>
    </row>
    <row r="121" spans="1:6" x14ac:dyDescent="0.25">
      <c r="A121" s="3">
        <v>44567</v>
      </c>
      <c r="B121" s="5" t="s">
        <v>9</v>
      </c>
      <c r="C121" s="5" t="s">
        <v>14</v>
      </c>
      <c r="D121" s="11">
        <v>2.5</v>
      </c>
      <c r="E121" s="11">
        <f>D121-VLOOKUP('Item Look Up Table'!$A$15,'Item Look Up Table'!$A$2:$B$15,2,FALSE)</f>
        <v>1.5</v>
      </c>
      <c r="F121" s="19">
        <f>VLOOKUP('Item Look Up Table'!$A$15,'Item Look Up Table'!$A$1:$C$15,3,FALSE)</f>
        <v>120</v>
      </c>
    </row>
    <row r="122" spans="1:6" x14ac:dyDescent="0.25">
      <c r="A122" s="3">
        <v>44568</v>
      </c>
      <c r="B122" s="5" t="s">
        <v>4</v>
      </c>
      <c r="C122" s="5" t="s">
        <v>3</v>
      </c>
      <c r="D122" s="11">
        <v>3</v>
      </c>
      <c r="E122" s="11">
        <f>D122-VLOOKUP('Item Look Up Table'!$A$11,'Item Look Up Table'!$A$2:$B$15,2,FALSE)</f>
        <v>0.5</v>
      </c>
      <c r="F122" s="19">
        <f>VLOOKUP('Item Look Up Table'!$A$11,'Item Look Up Table'!$A$1:$C$15,3,FALSE)</f>
        <v>560</v>
      </c>
    </row>
    <row r="123" spans="1:6" x14ac:dyDescent="0.25">
      <c r="A123" s="3">
        <v>44568</v>
      </c>
      <c r="B123" s="5" t="s">
        <v>17</v>
      </c>
      <c r="C123" s="5" t="s">
        <v>19</v>
      </c>
      <c r="D123" s="11">
        <v>3</v>
      </c>
      <c r="E123" s="11">
        <f>D123-VLOOKUP('Item Look Up Table'!$A$5,'Item Look Up Table'!$A$2:B$15,2,FALSE)</f>
        <v>2</v>
      </c>
      <c r="F123" s="19">
        <f>VLOOKUP('Item Look Up Table'!$A$5,'Item Look Up Table'!$A$1:$C$15,3,FALSE)</f>
        <v>300</v>
      </c>
    </row>
    <row r="124" spans="1:6" x14ac:dyDescent="0.25">
      <c r="A124" s="3">
        <v>44568</v>
      </c>
      <c r="B124" s="5" t="s">
        <v>12</v>
      </c>
      <c r="C124" s="5" t="s">
        <v>15</v>
      </c>
      <c r="D124" s="11">
        <v>2</v>
      </c>
      <c r="E124" s="11">
        <f>D124-VLOOKUP('Item Look Up Table'!$A$4,'Item Look Up Table'!$A$2:B$15,2,FALSE)</f>
        <v>1</v>
      </c>
      <c r="F124" s="19">
        <f>VLOOKUP('Item Look Up Table'!$A$4,'Item Look Up Table'!$A$1:$C$15,3,FALSE)</f>
        <v>255</v>
      </c>
    </row>
    <row r="125" spans="1:6" x14ac:dyDescent="0.25">
      <c r="A125" s="3">
        <v>44568</v>
      </c>
      <c r="B125" s="5" t="s">
        <v>6</v>
      </c>
      <c r="C125" s="5" t="s">
        <v>3</v>
      </c>
      <c r="D125" s="11">
        <v>3</v>
      </c>
      <c r="E125" s="11">
        <f>D125-VLOOKUP('Item Look Up Table'!$A$7,'Item Look Up Table'!$A$2:$B$15,2,FALSE)</f>
        <v>1.5</v>
      </c>
      <c r="F125" s="19">
        <f>VLOOKUP('Item Look Up Table'!$A$7,'Item Look Up Table'!$A$1:$C$15,3,FALSE)</f>
        <v>320</v>
      </c>
    </row>
    <row r="126" spans="1:6" x14ac:dyDescent="0.25">
      <c r="A126" s="3">
        <v>44568</v>
      </c>
      <c r="B126" s="5" t="s">
        <v>8</v>
      </c>
      <c r="C126" s="5" t="s">
        <v>14</v>
      </c>
      <c r="D126" s="11">
        <v>4</v>
      </c>
      <c r="E126" s="11">
        <f>D126-VLOOKUP('Item Look Up Table'!$A$2,'Item Look Up Table'!$A$2:$B$15,2,FALSE)</f>
        <v>2</v>
      </c>
      <c r="F126" s="19">
        <f>VLOOKUP('Item Look Up Table'!$A$2,'Item Look Up Table'!$A$1:$C$15,3,FALSE)</f>
        <v>200</v>
      </c>
    </row>
    <row r="127" spans="1:6" x14ac:dyDescent="0.25">
      <c r="A127" s="3">
        <v>44568</v>
      </c>
      <c r="B127" s="5" t="s">
        <v>17</v>
      </c>
      <c r="C127" s="5" t="s">
        <v>19</v>
      </c>
      <c r="D127" s="11">
        <v>3</v>
      </c>
      <c r="E127" s="11">
        <f>D127-VLOOKUP('Item Look Up Table'!$A$5,'Item Look Up Table'!$A$2:B$15,2,FALSE)</f>
        <v>2</v>
      </c>
      <c r="F127" s="19">
        <f>VLOOKUP('Item Look Up Table'!$A$5,'Item Look Up Table'!$A$1:$C$15,3,FALSE)</f>
        <v>300</v>
      </c>
    </row>
    <row r="128" spans="1:6" x14ac:dyDescent="0.25">
      <c r="A128" s="3">
        <v>44568</v>
      </c>
      <c r="B128" s="5" t="s">
        <v>17</v>
      </c>
      <c r="C128" s="5" t="s">
        <v>19</v>
      </c>
      <c r="D128" s="11">
        <v>3</v>
      </c>
      <c r="E128" s="11">
        <f>D128-VLOOKUP('Item Look Up Table'!$A$5,'Item Look Up Table'!$A$2:B$15,2,FALSE)</f>
        <v>2</v>
      </c>
      <c r="F128" s="19">
        <f>VLOOKUP('Item Look Up Table'!$A$5,'Item Look Up Table'!$A$1:$C$15,3,FALSE)</f>
        <v>300</v>
      </c>
    </row>
    <row r="129" spans="1:6" x14ac:dyDescent="0.25">
      <c r="A129" s="3">
        <v>44568</v>
      </c>
      <c r="B129" s="5" t="s">
        <v>13</v>
      </c>
      <c r="C129" s="5" t="s">
        <v>15</v>
      </c>
      <c r="D129" s="11">
        <v>2</v>
      </c>
      <c r="E129" s="11">
        <f>D129-VLOOKUP('Item Look Up Table'!$A$6,'Item Look Up Table'!$A$2:B$15,2,FALSE)</f>
        <v>0</v>
      </c>
      <c r="F129" s="19">
        <f>VLOOKUP('Item Look Up Table'!$A$6,'Item Look Up Table'!$A$1:$C$15,3,FALSE)</f>
        <v>300</v>
      </c>
    </row>
    <row r="130" spans="1:6" x14ac:dyDescent="0.25">
      <c r="A130" s="3">
        <v>44568</v>
      </c>
      <c r="B130" s="5" t="s">
        <v>11</v>
      </c>
      <c r="C130" s="5" t="s">
        <v>15</v>
      </c>
      <c r="D130" s="11">
        <v>2</v>
      </c>
      <c r="E130" s="11">
        <f>D130-VLOOKUP('Item Look Up Table'!$A$10,'Item Look Up Table'!$A$2:$B$15,2,FALSE)</f>
        <v>1</v>
      </c>
      <c r="F130" s="19">
        <f>VLOOKUP('Item Look Up Table'!$A$10,'Item Look Up Table'!$A$1:$C$15,3,FALSE)</f>
        <v>280</v>
      </c>
    </row>
    <row r="131" spans="1:6" x14ac:dyDescent="0.25">
      <c r="A131" s="3">
        <v>44568</v>
      </c>
      <c r="B131" s="5" t="s">
        <v>8</v>
      </c>
      <c r="C131" s="5" t="s">
        <v>14</v>
      </c>
      <c r="D131" s="11">
        <v>4</v>
      </c>
      <c r="E131" s="11">
        <f>D131-VLOOKUP('Item Look Up Table'!$A$2,'Item Look Up Table'!$A$2:$B$15,2,FALSE)</f>
        <v>2</v>
      </c>
      <c r="F131" s="19">
        <f>VLOOKUP('Item Look Up Table'!$A$2,'Item Look Up Table'!$A$1:$C$15,3,FALSE)</f>
        <v>200</v>
      </c>
    </row>
    <row r="132" spans="1:6" x14ac:dyDescent="0.25">
      <c r="A132" s="3">
        <v>44568</v>
      </c>
      <c r="B132" s="5" t="s">
        <v>11</v>
      </c>
      <c r="C132" s="5" t="s">
        <v>15</v>
      </c>
      <c r="D132" s="11">
        <v>2</v>
      </c>
      <c r="E132" s="11">
        <f>D132-VLOOKUP('Item Look Up Table'!$A$10,'Item Look Up Table'!$A$2:$B$15,2,FALSE)</f>
        <v>1</v>
      </c>
      <c r="F132" s="19">
        <f>VLOOKUP('Item Look Up Table'!$A$10,'Item Look Up Table'!$A$1:$C$15,3,FALSE)</f>
        <v>280</v>
      </c>
    </row>
    <row r="133" spans="1:6" x14ac:dyDescent="0.25">
      <c r="A133" s="3">
        <v>44568</v>
      </c>
      <c r="B133" s="5" t="s">
        <v>8</v>
      </c>
      <c r="C133" s="5" t="s">
        <v>14</v>
      </c>
      <c r="D133" s="11">
        <v>4</v>
      </c>
      <c r="E133" s="11">
        <f>D133-VLOOKUP('Item Look Up Table'!$A$2,'Item Look Up Table'!$A$2:$B$15,2,FALSE)</f>
        <v>2</v>
      </c>
      <c r="F133" s="19">
        <f>VLOOKUP('Item Look Up Table'!$A$2,'Item Look Up Table'!$A$1:$C$15,3,FALSE)</f>
        <v>200</v>
      </c>
    </row>
    <row r="134" spans="1:6" x14ac:dyDescent="0.25">
      <c r="A134" s="3">
        <v>44568</v>
      </c>
      <c r="B134" s="5" t="s">
        <v>11</v>
      </c>
      <c r="C134" s="5" t="s">
        <v>15</v>
      </c>
      <c r="D134" s="11">
        <v>2</v>
      </c>
      <c r="E134" s="11">
        <f>D134-VLOOKUP('Item Look Up Table'!$A$10,'Item Look Up Table'!$A$2:$B$15,2,FALSE)</f>
        <v>1</v>
      </c>
      <c r="F134" s="19">
        <f>VLOOKUP('Item Look Up Table'!$A$10,'Item Look Up Table'!$A$1:$C$15,3,FALSE)</f>
        <v>280</v>
      </c>
    </row>
    <row r="135" spans="1:6" x14ac:dyDescent="0.25">
      <c r="A135" s="3">
        <v>44568</v>
      </c>
      <c r="B135" s="5" t="s">
        <v>8</v>
      </c>
      <c r="C135" s="5" t="s">
        <v>14</v>
      </c>
      <c r="D135" s="11">
        <v>4</v>
      </c>
      <c r="E135" s="11">
        <f>D135-VLOOKUP('Item Look Up Table'!$A$2,'Item Look Up Table'!$A$2:$B$15,2,FALSE)</f>
        <v>2</v>
      </c>
      <c r="F135" s="19">
        <f>VLOOKUP('Item Look Up Table'!$A$2,'Item Look Up Table'!$A$1:$C$15,3,FALSE)</f>
        <v>200</v>
      </c>
    </row>
    <row r="136" spans="1:6" x14ac:dyDescent="0.25">
      <c r="A136" s="3">
        <v>44568</v>
      </c>
      <c r="B136" s="5" t="s">
        <v>2</v>
      </c>
      <c r="C136" s="5" t="s">
        <v>3</v>
      </c>
      <c r="D136" s="11">
        <v>1.5</v>
      </c>
      <c r="E136" s="11">
        <f>D136-VLOOKUP('Item Look Up Table'!$A$8,'Item Look Up Table'!$A$2:$B$15,2,FALSE)</f>
        <v>1</v>
      </c>
      <c r="F136" s="19">
        <f>VLOOKUP('Item Look Up Table'!$A$8,'Item Look Up Table'!$A$1:$C$15,3,FALSE)</f>
        <v>265</v>
      </c>
    </row>
    <row r="137" spans="1:6" x14ac:dyDescent="0.25">
      <c r="A137" s="3">
        <v>44568</v>
      </c>
      <c r="B137" s="5" t="s">
        <v>16</v>
      </c>
      <c r="C137" s="5" t="s">
        <v>19</v>
      </c>
      <c r="D137" s="11">
        <v>3</v>
      </c>
      <c r="E137" s="11">
        <f>D137-VLOOKUP('Item Look Up Table'!$A$9,'Item Look Up Table'!$A$2:$B$15,2,FALSE)</f>
        <v>1.5</v>
      </c>
      <c r="F137" s="19">
        <f>VLOOKUP('Item Look Up Table'!$A$9,'Item Look Up Table'!$A$1:$C$15,3,FALSE)</f>
        <v>240</v>
      </c>
    </row>
    <row r="138" spans="1:6" x14ac:dyDescent="0.25">
      <c r="A138" s="3">
        <v>44568</v>
      </c>
      <c r="B138" s="5" t="s">
        <v>2</v>
      </c>
      <c r="C138" s="5" t="s">
        <v>3</v>
      </c>
      <c r="D138" s="11">
        <v>1.5</v>
      </c>
      <c r="E138" s="11">
        <f>D138-VLOOKUP('Item Look Up Table'!$A$8,'Item Look Up Table'!$A$2:$B$15,2,FALSE)</f>
        <v>1</v>
      </c>
      <c r="F138" s="19">
        <f>VLOOKUP('Item Look Up Table'!$A$8,'Item Look Up Table'!$A$1:$C$15,3,FALSE)</f>
        <v>265</v>
      </c>
    </row>
    <row r="139" spans="1:6" x14ac:dyDescent="0.25">
      <c r="A139" s="3">
        <v>44568</v>
      </c>
      <c r="B139" s="5" t="s">
        <v>16</v>
      </c>
      <c r="C139" s="5" t="s">
        <v>19</v>
      </c>
      <c r="D139" s="11">
        <v>3</v>
      </c>
      <c r="E139" s="11">
        <f>D139-VLOOKUP('Item Look Up Table'!$A$9,'Item Look Up Table'!$A$2:$B$15,2,FALSE)</f>
        <v>1.5</v>
      </c>
      <c r="F139" s="19">
        <f>VLOOKUP('Item Look Up Table'!$A$9,'Item Look Up Table'!$A$1:$C$15,3,FALSE)</f>
        <v>240</v>
      </c>
    </row>
    <row r="140" spans="1:6" x14ac:dyDescent="0.25">
      <c r="A140" s="3">
        <v>44568</v>
      </c>
      <c r="B140" s="5" t="s">
        <v>16</v>
      </c>
      <c r="C140" s="5" t="s">
        <v>19</v>
      </c>
      <c r="D140" s="11">
        <v>3</v>
      </c>
      <c r="E140" s="11">
        <f>D140-VLOOKUP('Item Look Up Table'!$A$9,'Item Look Up Table'!$A$2:$B$15,2,FALSE)</f>
        <v>1.5</v>
      </c>
      <c r="F140" s="19">
        <f>VLOOKUP('Item Look Up Table'!$A$9,'Item Look Up Table'!$A$1:$C$15,3,FALSE)</f>
        <v>240</v>
      </c>
    </row>
    <row r="141" spans="1:6" x14ac:dyDescent="0.25">
      <c r="A141" s="3">
        <v>44568</v>
      </c>
      <c r="B141" s="5" t="s">
        <v>5</v>
      </c>
      <c r="C141" s="5" t="s">
        <v>3</v>
      </c>
      <c r="D141" s="11">
        <v>2</v>
      </c>
      <c r="E141" s="11">
        <f>D141-VLOOKUP('Item Look Up Table'!$A$12,'Item Look Up Table'!$A$2:$B$15,2,FALSE)</f>
        <v>1</v>
      </c>
      <c r="F141" s="19">
        <f>VLOOKUP('Item Look Up Table'!$A$12,'Item Look Up Table'!$A$1:$C$15,3,FALSE)</f>
        <v>480</v>
      </c>
    </row>
    <row r="142" spans="1:6" x14ac:dyDescent="0.25">
      <c r="A142" s="3">
        <v>44568</v>
      </c>
      <c r="B142" s="5" t="s">
        <v>13</v>
      </c>
      <c r="C142" s="5" t="s">
        <v>15</v>
      </c>
      <c r="D142" s="11">
        <v>2</v>
      </c>
      <c r="E142" s="11">
        <f>D142-VLOOKUP('Item Look Up Table'!$A$6,'Item Look Up Table'!$A$2:B$15,2,FALSE)</f>
        <v>0</v>
      </c>
      <c r="F142" s="19">
        <f>VLOOKUP('Item Look Up Table'!$A$6,'Item Look Up Table'!$A$1:$C$15,3,FALSE)</f>
        <v>300</v>
      </c>
    </row>
    <row r="143" spans="1:6" x14ac:dyDescent="0.25">
      <c r="A143" s="3">
        <v>44568</v>
      </c>
      <c r="B143" s="5" t="s">
        <v>12</v>
      </c>
      <c r="C143" s="5" t="s">
        <v>15</v>
      </c>
      <c r="D143" s="11">
        <v>2</v>
      </c>
      <c r="E143" s="11">
        <f>D143-VLOOKUP('Item Look Up Table'!$A$4,'Item Look Up Table'!$A$2:B$15,2,FALSE)</f>
        <v>1</v>
      </c>
      <c r="F143" s="19">
        <f>VLOOKUP('Item Look Up Table'!$A$4,'Item Look Up Table'!$A$1:$C$15,3,FALSE)</f>
        <v>255</v>
      </c>
    </row>
    <row r="144" spans="1:6" x14ac:dyDescent="0.25">
      <c r="A144" s="3">
        <v>44568</v>
      </c>
      <c r="B144" s="5" t="s">
        <v>8</v>
      </c>
      <c r="C144" s="5" t="s">
        <v>14</v>
      </c>
      <c r="D144" s="11">
        <v>4</v>
      </c>
      <c r="E144" s="11">
        <f>D144-VLOOKUP('Item Look Up Table'!$A$2,'Item Look Up Table'!$A$2:$B$15,2,FALSE)</f>
        <v>2</v>
      </c>
      <c r="F144" s="19">
        <f>VLOOKUP('Item Look Up Table'!$A$2,'Item Look Up Table'!$A$1:$C$15,3,FALSE)</f>
        <v>200</v>
      </c>
    </row>
    <row r="145" spans="1:6" x14ac:dyDescent="0.25">
      <c r="A145" s="3">
        <v>44568</v>
      </c>
      <c r="B145" s="5" t="s">
        <v>16</v>
      </c>
      <c r="C145" s="5" t="s">
        <v>19</v>
      </c>
      <c r="D145" s="11">
        <v>3</v>
      </c>
      <c r="E145" s="11">
        <f>D145-VLOOKUP('Item Look Up Table'!$A$9,'Item Look Up Table'!$A$2:$B$15,2,FALSE)</f>
        <v>1.5</v>
      </c>
      <c r="F145" s="19">
        <f>VLOOKUP('Item Look Up Table'!$A$9,'Item Look Up Table'!$A$1:$C$15,3,FALSE)</f>
        <v>240</v>
      </c>
    </row>
    <row r="146" spans="1:6" x14ac:dyDescent="0.25">
      <c r="A146" s="3">
        <v>44568</v>
      </c>
      <c r="B146" s="5" t="s">
        <v>5</v>
      </c>
      <c r="C146" s="5" t="s">
        <v>3</v>
      </c>
      <c r="D146" s="11">
        <v>2</v>
      </c>
      <c r="E146" s="11">
        <f>D146-VLOOKUP('Item Look Up Table'!$A$12,'Item Look Up Table'!$A$2:$B$15,2,FALSE)</f>
        <v>1</v>
      </c>
      <c r="F146" s="19">
        <f>VLOOKUP('Item Look Up Table'!$A$12,'Item Look Up Table'!$A$1:$C$15,3,FALSE)</f>
        <v>480</v>
      </c>
    </row>
    <row r="147" spans="1:6" x14ac:dyDescent="0.25">
      <c r="A147" s="3">
        <v>44568</v>
      </c>
      <c r="B147" s="5" t="s">
        <v>7</v>
      </c>
      <c r="C147" s="5" t="s">
        <v>3</v>
      </c>
      <c r="D147" s="11">
        <v>5</v>
      </c>
      <c r="E147" s="11">
        <f>D147-VLOOKUP('Item Look Up Table'!$A$13,'Item Look Up Table'!$A$2:$B$15,2,FALSE)</f>
        <v>4.5</v>
      </c>
      <c r="F147" s="19">
        <f>VLOOKUP('Item Look Up Table'!$A$13,'Item Look Up Table'!$A$1:$C$15,3,FALSE)</f>
        <v>500</v>
      </c>
    </row>
    <row r="148" spans="1:6" x14ac:dyDescent="0.25">
      <c r="A148" s="3">
        <v>44568</v>
      </c>
      <c r="B148" s="5" t="s">
        <v>9</v>
      </c>
      <c r="C148" s="5" t="s">
        <v>14</v>
      </c>
      <c r="D148" s="11">
        <v>2.5</v>
      </c>
      <c r="E148" s="11">
        <f>D148-VLOOKUP('Item Look Up Table'!$A$15,'Item Look Up Table'!$A$2:$B$15,2,FALSE)</f>
        <v>1.5</v>
      </c>
      <c r="F148" s="19">
        <f>VLOOKUP('Item Look Up Table'!$A$15,'Item Look Up Table'!$A$1:$C$15,3,FALSE)</f>
        <v>120</v>
      </c>
    </row>
    <row r="149" spans="1:6" x14ac:dyDescent="0.25">
      <c r="A149" s="3">
        <v>44568</v>
      </c>
      <c r="B149" s="5" t="s">
        <v>4</v>
      </c>
      <c r="C149" s="5" t="s">
        <v>3</v>
      </c>
      <c r="D149" s="11">
        <v>3</v>
      </c>
      <c r="E149" s="11">
        <f>D149-VLOOKUP('Item Look Up Table'!$A$11,'Item Look Up Table'!$A$2:$B$15,2,FALSE)</f>
        <v>0.5</v>
      </c>
      <c r="F149" s="19">
        <f>VLOOKUP('Item Look Up Table'!$A$11,'Item Look Up Table'!$A$1:$C$15,3,FALSE)</f>
        <v>560</v>
      </c>
    </row>
    <row r="150" spans="1:6" x14ac:dyDescent="0.25">
      <c r="A150" s="3">
        <v>44568</v>
      </c>
      <c r="B150" s="5" t="s">
        <v>13</v>
      </c>
      <c r="C150" s="5" t="s">
        <v>15</v>
      </c>
      <c r="D150" s="11">
        <v>2</v>
      </c>
      <c r="E150" s="11">
        <f>D150-VLOOKUP('Item Look Up Table'!$A$6,'Item Look Up Table'!$A$2:B$15,2,FALSE)</f>
        <v>0</v>
      </c>
      <c r="F150" s="19">
        <f>VLOOKUP('Item Look Up Table'!$A$6,'Item Look Up Table'!$A$1:$C$15,3,FALSE)</f>
        <v>300</v>
      </c>
    </row>
    <row r="151" spans="1:6" x14ac:dyDescent="0.25">
      <c r="A151" s="3">
        <v>44568</v>
      </c>
      <c r="B151" s="5" t="s">
        <v>4</v>
      </c>
      <c r="C151" s="5" t="s">
        <v>3</v>
      </c>
      <c r="D151" s="11">
        <v>3</v>
      </c>
      <c r="E151" s="11">
        <f>D151-VLOOKUP('Item Look Up Table'!$A$11,'Item Look Up Table'!$A$2:$B$15,2,FALSE)</f>
        <v>0.5</v>
      </c>
      <c r="F151" s="19">
        <f>VLOOKUP('Item Look Up Table'!$A$11,'Item Look Up Table'!$A$1:$C$15,3,FALSE)</f>
        <v>560</v>
      </c>
    </row>
    <row r="152" spans="1:6" x14ac:dyDescent="0.25">
      <c r="A152" s="3">
        <v>44568</v>
      </c>
      <c r="B152" s="5" t="s">
        <v>11</v>
      </c>
      <c r="C152" s="5" t="s">
        <v>15</v>
      </c>
      <c r="D152" s="11">
        <v>2</v>
      </c>
      <c r="E152" s="11">
        <f>D152-VLOOKUP('Item Look Up Table'!$A$10,'Item Look Up Table'!$A$2:$B$15,2,FALSE)</f>
        <v>1</v>
      </c>
      <c r="F152" s="19">
        <f>VLOOKUP('Item Look Up Table'!$A$10,'Item Look Up Table'!$A$1:$C$15,3,FALSE)</f>
        <v>280</v>
      </c>
    </row>
    <row r="153" spans="1:6" x14ac:dyDescent="0.25">
      <c r="A153" s="3">
        <v>44568</v>
      </c>
      <c r="B153" s="5" t="s">
        <v>10</v>
      </c>
      <c r="C153" s="5" t="s">
        <v>14</v>
      </c>
      <c r="D153" s="11">
        <v>3</v>
      </c>
      <c r="E153" s="11">
        <f>D153-VLOOKUP('Item Look Up Table'!$A$3,'Item Look Up Table'!$A$2:B$15,2,FALSE)</f>
        <v>2.5</v>
      </c>
      <c r="F153" s="19">
        <f>VLOOKUP('Item Look Up Table'!$A$3,'Item Look Up Table'!$A$1:$C$15,3,FALSE)</f>
        <v>0</v>
      </c>
    </row>
    <row r="154" spans="1:6" x14ac:dyDescent="0.25">
      <c r="A154" s="3">
        <v>44568</v>
      </c>
      <c r="B154" s="5" t="s">
        <v>5</v>
      </c>
      <c r="C154" s="5" t="s">
        <v>3</v>
      </c>
      <c r="D154" s="11">
        <v>2</v>
      </c>
      <c r="E154" s="11">
        <f>D154-VLOOKUP('Item Look Up Table'!$A$12,'Item Look Up Table'!$A$2:$B$15,2,FALSE)</f>
        <v>1</v>
      </c>
      <c r="F154" s="19">
        <f>VLOOKUP('Item Look Up Table'!$A$12,'Item Look Up Table'!$A$1:$C$15,3,FALSE)</f>
        <v>480</v>
      </c>
    </row>
    <row r="155" spans="1:6" x14ac:dyDescent="0.25">
      <c r="A155" s="3">
        <v>44568</v>
      </c>
      <c r="B155" s="5" t="s">
        <v>18</v>
      </c>
      <c r="C155" s="5" t="s">
        <v>19</v>
      </c>
      <c r="D155" s="11">
        <v>3</v>
      </c>
      <c r="E155" s="11">
        <f>D155-VLOOKUP('Item Look Up Table'!$A$14,'Item Look Up Table'!$A$2:$B$15,2,FALSE)</f>
        <v>2.5</v>
      </c>
      <c r="F155" s="19">
        <f>VLOOKUP('Item Look Up Table'!$A$14,'Item Look Up Table'!$A$1:$C$15,3,FALSE)</f>
        <v>150</v>
      </c>
    </row>
    <row r="156" spans="1:6" x14ac:dyDescent="0.25">
      <c r="A156" s="3">
        <v>44568</v>
      </c>
      <c r="B156" s="5" t="s">
        <v>13</v>
      </c>
      <c r="C156" s="5" t="s">
        <v>15</v>
      </c>
      <c r="D156" s="11">
        <v>2</v>
      </c>
      <c r="E156" s="11">
        <f>D156-VLOOKUP('Item Look Up Table'!$A$6,'Item Look Up Table'!$A$2:B$15,2,FALSE)</f>
        <v>0</v>
      </c>
      <c r="F156" s="19">
        <f>VLOOKUP('Item Look Up Table'!$A$6,'Item Look Up Table'!$A$1:$C$15,3,FALSE)</f>
        <v>300</v>
      </c>
    </row>
    <row r="157" spans="1:6" x14ac:dyDescent="0.25">
      <c r="A157" s="3">
        <v>44568</v>
      </c>
      <c r="B157" s="5" t="s">
        <v>5</v>
      </c>
      <c r="C157" s="5" t="s">
        <v>3</v>
      </c>
      <c r="D157" s="11">
        <v>2</v>
      </c>
      <c r="E157" s="11">
        <f>D157-VLOOKUP('Item Look Up Table'!$A$12,'Item Look Up Table'!$A$2:$B$15,2,FALSE)</f>
        <v>1</v>
      </c>
      <c r="F157" s="19">
        <f>VLOOKUP('Item Look Up Table'!$A$12,'Item Look Up Table'!$A$1:$C$15,3,FALSE)</f>
        <v>480</v>
      </c>
    </row>
    <row r="158" spans="1:6" x14ac:dyDescent="0.25">
      <c r="A158" s="3">
        <v>44569</v>
      </c>
      <c r="B158" s="5" t="s">
        <v>9</v>
      </c>
      <c r="C158" s="5" t="s">
        <v>14</v>
      </c>
      <c r="D158" s="11">
        <v>2.5</v>
      </c>
      <c r="E158" s="11">
        <f>D158-VLOOKUP('Item Look Up Table'!$A$15,'Item Look Up Table'!$A$2:$B$15,2,FALSE)</f>
        <v>1.5</v>
      </c>
      <c r="F158" s="19">
        <f>VLOOKUP('Item Look Up Table'!$A$15,'Item Look Up Table'!$A$1:$C$15,3,FALSE)</f>
        <v>120</v>
      </c>
    </row>
    <row r="159" spans="1:6" x14ac:dyDescent="0.25">
      <c r="A159" s="3">
        <v>44569</v>
      </c>
      <c r="B159" s="5" t="s">
        <v>12</v>
      </c>
      <c r="C159" s="5" t="s">
        <v>15</v>
      </c>
      <c r="D159" s="11">
        <v>2</v>
      </c>
      <c r="E159" s="11">
        <f>D159-VLOOKUP('Item Look Up Table'!$A$4,'Item Look Up Table'!$A$2:B$15,2,FALSE)</f>
        <v>1</v>
      </c>
      <c r="F159" s="19">
        <f>VLOOKUP('Item Look Up Table'!$A$4,'Item Look Up Table'!$A$1:$C$15,3,FALSE)</f>
        <v>255</v>
      </c>
    </row>
    <row r="160" spans="1:6" x14ac:dyDescent="0.25">
      <c r="A160" s="3">
        <v>44569</v>
      </c>
      <c r="B160" s="5" t="s">
        <v>13</v>
      </c>
      <c r="C160" s="5" t="s">
        <v>15</v>
      </c>
      <c r="D160" s="11">
        <v>2</v>
      </c>
      <c r="E160" s="11">
        <f>D160-VLOOKUP('Item Look Up Table'!$A$6,'Item Look Up Table'!$A$2:B$15,2,FALSE)</f>
        <v>0</v>
      </c>
      <c r="F160" s="19">
        <f>VLOOKUP('Item Look Up Table'!$A$6,'Item Look Up Table'!$A$1:$C$15,3,FALSE)</f>
        <v>300</v>
      </c>
    </row>
    <row r="161" spans="1:6" x14ac:dyDescent="0.25">
      <c r="A161" s="3">
        <v>44569</v>
      </c>
      <c r="B161" s="5" t="s">
        <v>5</v>
      </c>
      <c r="C161" s="5" t="s">
        <v>3</v>
      </c>
      <c r="D161" s="11">
        <v>2</v>
      </c>
      <c r="E161" s="11">
        <f>D161-VLOOKUP('Item Look Up Table'!$A$12,'Item Look Up Table'!$A$2:$B$15,2,FALSE)</f>
        <v>1</v>
      </c>
      <c r="F161" s="19">
        <f>VLOOKUP('Item Look Up Table'!$A$12,'Item Look Up Table'!$A$1:$C$15,3,FALSE)</f>
        <v>480</v>
      </c>
    </row>
    <row r="162" spans="1:6" x14ac:dyDescent="0.25">
      <c r="A162" s="3">
        <v>44569</v>
      </c>
      <c r="B162" s="5" t="s">
        <v>2</v>
      </c>
      <c r="C162" s="5" t="s">
        <v>3</v>
      </c>
      <c r="D162" s="11">
        <v>1.5</v>
      </c>
      <c r="E162" s="11">
        <f>D162-VLOOKUP('Item Look Up Table'!$A$8,'Item Look Up Table'!$A$2:$B$15,2,FALSE)</f>
        <v>1</v>
      </c>
      <c r="F162" s="19">
        <f>VLOOKUP('Item Look Up Table'!$A$8,'Item Look Up Table'!$A$1:$C$15,3,FALSE)</f>
        <v>265</v>
      </c>
    </row>
    <row r="163" spans="1:6" x14ac:dyDescent="0.25">
      <c r="A163" s="3">
        <v>44569</v>
      </c>
      <c r="B163" s="5" t="s">
        <v>13</v>
      </c>
      <c r="C163" s="5" t="s">
        <v>15</v>
      </c>
      <c r="D163" s="11">
        <v>2</v>
      </c>
      <c r="E163" s="11">
        <f>D163-VLOOKUP('Item Look Up Table'!$A$6,'Item Look Up Table'!$A$2:B$15,2,FALSE)</f>
        <v>0</v>
      </c>
      <c r="F163" s="19">
        <f>VLOOKUP('Item Look Up Table'!$A$6,'Item Look Up Table'!$A$1:$C$15,3,FALSE)</f>
        <v>300</v>
      </c>
    </row>
    <row r="164" spans="1:6" x14ac:dyDescent="0.25">
      <c r="A164" s="3">
        <v>44569</v>
      </c>
      <c r="B164" s="5" t="s">
        <v>16</v>
      </c>
      <c r="C164" s="5" t="s">
        <v>19</v>
      </c>
      <c r="D164" s="11">
        <v>3</v>
      </c>
      <c r="E164" s="11">
        <f>D164-VLOOKUP('Item Look Up Table'!$A$9,'Item Look Up Table'!$A$2:$B$15,2,FALSE)</f>
        <v>1.5</v>
      </c>
      <c r="F164" s="19">
        <f>VLOOKUP('Item Look Up Table'!$A$9,'Item Look Up Table'!$A$1:$C$15,3,FALSE)</f>
        <v>240</v>
      </c>
    </row>
    <row r="165" spans="1:6" x14ac:dyDescent="0.25">
      <c r="A165" s="3">
        <v>44569</v>
      </c>
      <c r="B165" s="5" t="s">
        <v>11</v>
      </c>
      <c r="C165" s="5" t="s">
        <v>15</v>
      </c>
      <c r="D165" s="11">
        <v>2</v>
      </c>
      <c r="E165" s="11">
        <f>D165-VLOOKUP('Item Look Up Table'!$A$10,'Item Look Up Table'!$A$2:$B$15,2,FALSE)</f>
        <v>1</v>
      </c>
      <c r="F165" s="19">
        <f>VLOOKUP('Item Look Up Table'!$A$10,'Item Look Up Table'!$A$1:$C$15,3,FALSE)</f>
        <v>280</v>
      </c>
    </row>
    <row r="166" spans="1:6" x14ac:dyDescent="0.25">
      <c r="A166" s="3">
        <v>44569</v>
      </c>
      <c r="B166" s="5" t="s">
        <v>8</v>
      </c>
      <c r="C166" s="5" t="s">
        <v>14</v>
      </c>
      <c r="D166" s="11">
        <v>4</v>
      </c>
      <c r="E166" s="11">
        <f>D166-VLOOKUP('Item Look Up Table'!$A$2,'Item Look Up Table'!$A$2:$B$15,2,FALSE)</f>
        <v>2</v>
      </c>
      <c r="F166" s="19">
        <f>VLOOKUP('Item Look Up Table'!$A$2,'Item Look Up Table'!$A$1:$C$15,3,FALSE)</f>
        <v>200</v>
      </c>
    </row>
    <row r="167" spans="1:6" x14ac:dyDescent="0.25">
      <c r="A167" s="3">
        <v>44569</v>
      </c>
      <c r="B167" s="5" t="s">
        <v>6</v>
      </c>
      <c r="C167" s="5" t="s">
        <v>3</v>
      </c>
      <c r="D167" s="11">
        <v>3</v>
      </c>
      <c r="E167" s="11">
        <f>D167-VLOOKUP('Item Look Up Table'!$A$7,'Item Look Up Table'!$A$2:$B$15,2,FALSE)</f>
        <v>1.5</v>
      </c>
      <c r="F167" s="19">
        <f>VLOOKUP('Item Look Up Table'!$A$7,'Item Look Up Table'!$A$1:$C$15,3,FALSE)</f>
        <v>320</v>
      </c>
    </row>
    <row r="168" spans="1:6" x14ac:dyDescent="0.25">
      <c r="A168" s="3">
        <v>44569</v>
      </c>
      <c r="B168" s="5" t="s">
        <v>8</v>
      </c>
      <c r="C168" s="5" t="s">
        <v>14</v>
      </c>
      <c r="D168" s="11">
        <v>4</v>
      </c>
      <c r="E168" s="11">
        <f>D168-VLOOKUP('Item Look Up Table'!$A$2,'Item Look Up Table'!$A$2:$B$15,2,FALSE)</f>
        <v>2</v>
      </c>
      <c r="F168" s="19">
        <f>VLOOKUP('Item Look Up Table'!$A$2,'Item Look Up Table'!$A$1:$C$15,3,FALSE)</f>
        <v>200</v>
      </c>
    </row>
    <row r="169" spans="1:6" x14ac:dyDescent="0.25">
      <c r="A169" s="3">
        <v>44569</v>
      </c>
      <c r="B169" s="5" t="s">
        <v>16</v>
      </c>
      <c r="C169" s="5" t="s">
        <v>19</v>
      </c>
      <c r="D169" s="11">
        <v>3</v>
      </c>
      <c r="E169" s="11">
        <f>D169-VLOOKUP('Item Look Up Table'!$A$9,'Item Look Up Table'!$A$2:$B$15,2,FALSE)</f>
        <v>1.5</v>
      </c>
      <c r="F169" s="19">
        <f>VLOOKUP('Item Look Up Table'!$A$9,'Item Look Up Table'!$A$1:$C$15,3,FALSE)</f>
        <v>240</v>
      </c>
    </row>
    <row r="170" spans="1:6" x14ac:dyDescent="0.25">
      <c r="A170" s="3">
        <v>44569</v>
      </c>
      <c r="B170" s="5" t="s">
        <v>13</v>
      </c>
      <c r="C170" s="5" t="s">
        <v>15</v>
      </c>
      <c r="D170" s="11">
        <v>2</v>
      </c>
      <c r="E170" s="11">
        <f>D170-VLOOKUP('Item Look Up Table'!$A$6,'Item Look Up Table'!$A$2:B$15,2,FALSE)</f>
        <v>0</v>
      </c>
      <c r="F170" s="19">
        <f>VLOOKUP('Item Look Up Table'!$A$6,'Item Look Up Table'!$A$1:$C$15,3,FALSE)</f>
        <v>300</v>
      </c>
    </row>
    <row r="171" spans="1:6" x14ac:dyDescent="0.25">
      <c r="A171" s="3">
        <v>44569</v>
      </c>
      <c r="B171" s="5" t="s">
        <v>6</v>
      </c>
      <c r="C171" s="5" t="s">
        <v>3</v>
      </c>
      <c r="D171" s="11">
        <v>3</v>
      </c>
      <c r="E171" s="11">
        <f>D171-VLOOKUP('Item Look Up Table'!$A$7,'Item Look Up Table'!$A$2:$B$15,2,FALSE)</f>
        <v>1.5</v>
      </c>
      <c r="F171" s="19">
        <f>VLOOKUP('Item Look Up Table'!$A$7,'Item Look Up Table'!$A$1:$C$15,3,FALSE)</f>
        <v>320</v>
      </c>
    </row>
    <row r="172" spans="1:6" x14ac:dyDescent="0.25">
      <c r="A172" s="3">
        <v>44569</v>
      </c>
      <c r="B172" s="5" t="s">
        <v>11</v>
      </c>
      <c r="C172" s="5" t="s">
        <v>15</v>
      </c>
      <c r="D172" s="11">
        <v>2</v>
      </c>
      <c r="E172" s="11">
        <f>D172-VLOOKUP('Item Look Up Table'!$A$10,'Item Look Up Table'!$A$2:$B$15,2,FALSE)</f>
        <v>1</v>
      </c>
      <c r="F172" s="19">
        <f>VLOOKUP('Item Look Up Table'!$A$10,'Item Look Up Table'!$A$1:$C$15,3,FALSE)</f>
        <v>280</v>
      </c>
    </row>
    <row r="173" spans="1:6" x14ac:dyDescent="0.25">
      <c r="A173" s="3">
        <v>44569</v>
      </c>
      <c r="B173" s="5" t="s">
        <v>6</v>
      </c>
      <c r="C173" s="5" t="s">
        <v>3</v>
      </c>
      <c r="D173" s="11">
        <v>3</v>
      </c>
      <c r="E173" s="11">
        <f>D173-VLOOKUP('Item Look Up Table'!$A$7,'Item Look Up Table'!$A$2:$B$15,2,FALSE)</f>
        <v>1.5</v>
      </c>
      <c r="F173" s="19">
        <f>VLOOKUP('Item Look Up Table'!$A$7,'Item Look Up Table'!$A$1:$C$15,3,FALSE)</f>
        <v>320</v>
      </c>
    </row>
    <row r="174" spans="1:6" x14ac:dyDescent="0.25">
      <c r="A174" s="3">
        <v>44569</v>
      </c>
      <c r="B174" s="5" t="s">
        <v>9</v>
      </c>
      <c r="C174" s="5" t="s">
        <v>14</v>
      </c>
      <c r="D174" s="11">
        <v>2.5</v>
      </c>
      <c r="E174" s="11">
        <f>D174-VLOOKUP('Item Look Up Table'!$A$15,'Item Look Up Table'!$A$2:$B$15,2,FALSE)</f>
        <v>1.5</v>
      </c>
      <c r="F174" s="19">
        <f>VLOOKUP('Item Look Up Table'!$A$15,'Item Look Up Table'!$A$1:$C$15,3,FALSE)</f>
        <v>120</v>
      </c>
    </row>
    <row r="175" spans="1:6" x14ac:dyDescent="0.25">
      <c r="A175" s="3">
        <v>44569</v>
      </c>
      <c r="B175" s="5" t="s">
        <v>10</v>
      </c>
      <c r="C175" s="5" t="s">
        <v>14</v>
      </c>
      <c r="D175" s="11">
        <v>3</v>
      </c>
      <c r="E175" s="11">
        <f>D175-VLOOKUP('Item Look Up Table'!$A$3,'Item Look Up Table'!$A$2:B$15,2,FALSE)</f>
        <v>2.5</v>
      </c>
      <c r="F175" s="19">
        <f>VLOOKUP('Item Look Up Table'!$A$3,'Item Look Up Table'!$A$1:$C$15,3,FALSE)</f>
        <v>0</v>
      </c>
    </row>
    <row r="176" spans="1:6" x14ac:dyDescent="0.25">
      <c r="A176" s="3">
        <v>44569</v>
      </c>
      <c r="B176" s="5" t="s">
        <v>7</v>
      </c>
      <c r="C176" s="5" t="s">
        <v>3</v>
      </c>
      <c r="D176" s="11">
        <v>5</v>
      </c>
      <c r="E176" s="11">
        <f>D176-VLOOKUP('Item Look Up Table'!$A$13,'Item Look Up Table'!$A$2:$B$15,2,FALSE)</f>
        <v>4.5</v>
      </c>
      <c r="F176" s="19">
        <f>VLOOKUP('Item Look Up Table'!$A$13,'Item Look Up Table'!$A$1:$C$15,3,FALSE)</f>
        <v>500</v>
      </c>
    </row>
    <row r="177" spans="1:6" x14ac:dyDescent="0.25">
      <c r="A177" s="3">
        <v>44569</v>
      </c>
      <c r="B177" s="5" t="s">
        <v>8</v>
      </c>
      <c r="C177" s="5" t="s">
        <v>14</v>
      </c>
      <c r="D177" s="11">
        <v>4</v>
      </c>
      <c r="E177" s="11">
        <f>D177-VLOOKUP('Item Look Up Table'!$A$2,'Item Look Up Table'!$A$2:$B$15,2,FALSE)</f>
        <v>2</v>
      </c>
      <c r="F177" s="19">
        <f>VLOOKUP('Item Look Up Table'!$A$2,'Item Look Up Table'!$A$1:$C$15,3,FALSE)</f>
        <v>200</v>
      </c>
    </row>
    <row r="178" spans="1:6" x14ac:dyDescent="0.25">
      <c r="A178" s="3">
        <v>44569</v>
      </c>
      <c r="B178" s="5" t="s">
        <v>5</v>
      </c>
      <c r="C178" s="5" t="s">
        <v>3</v>
      </c>
      <c r="D178" s="11">
        <v>2</v>
      </c>
      <c r="E178" s="11">
        <f>D178-VLOOKUP('Item Look Up Table'!$A$12,'Item Look Up Table'!$A$2:$B$15,2,FALSE)</f>
        <v>1</v>
      </c>
      <c r="F178" s="19">
        <f>VLOOKUP('Item Look Up Table'!$A$12,'Item Look Up Table'!$A$1:$C$15,3,FALSE)</f>
        <v>480</v>
      </c>
    </row>
    <row r="179" spans="1:6" x14ac:dyDescent="0.25">
      <c r="A179" s="3">
        <v>44569</v>
      </c>
      <c r="B179" s="5" t="s">
        <v>18</v>
      </c>
      <c r="C179" s="5" t="s">
        <v>19</v>
      </c>
      <c r="D179" s="11">
        <v>3</v>
      </c>
      <c r="E179" s="11">
        <f>D179-VLOOKUP('Item Look Up Table'!$A$14,'Item Look Up Table'!$A$2:$B$15,2,FALSE)</f>
        <v>2.5</v>
      </c>
      <c r="F179" s="19">
        <f>VLOOKUP('Item Look Up Table'!$A$14,'Item Look Up Table'!$A$1:$C$15,3,FALSE)</f>
        <v>150</v>
      </c>
    </row>
    <row r="180" spans="1:6" x14ac:dyDescent="0.25">
      <c r="A180" s="3">
        <v>44569</v>
      </c>
      <c r="B180" s="5" t="s">
        <v>12</v>
      </c>
      <c r="C180" s="5" t="s">
        <v>15</v>
      </c>
      <c r="D180" s="11">
        <v>2</v>
      </c>
      <c r="E180" s="11">
        <f>D180-VLOOKUP('Item Look Up Table'!$A$4,'Item Look Up Table'!$A$2:B$15,2,FALSE)</f>
        <v>1</v>
      </c>
      <c r="F180" s="19">
        <f>VLOOKUP('Item Look Up Table'!$A$4,'Item Look Up Table'!$A$1:$C$15,3,FALSE)</f>
        <v>255</v>
      </c>
    </row>
    <row r="181" spans="1:6" x14ac:dyDescent="0.25">
      <c r="A181" s="3">
        <v>44569</v>
      </c>
      <c r="B181" s="5" t="s">
        <v>10</v>
      </c>
      <c r="C181" s="5" t="s">
        <v>14</v>
      </c>
      <c r="D181" s="11">
        <v>3</v>
      </c>
      <c r="E181" s="11">
        <f>D181-VLOOKUP('Item Look Up Table'!$A$3,'Item Look Up Table'!$A$2:B$15,2,FALSE)</f>
        <v>2.5</v>
      </c>
      <c r="F181" s="19">
        <f>VLOOKUP('Item Look Up Table'!$A$3,'Item Look Up Table'!$A$1:$C$15,3,FALSE)</f>
        <v>0</v>
      </c>
    </row>
    <row r="182" spans="1:6" x14ac:dyDescent="0.25">
      <c r="A182" s="3">
        <v>44569</v>
      </c>
      <c r="B182" s="5" t="s">
        <v>18</v>
      </c>
      <c r="C182" s="5" t="s">
        <v>19</v>
      </c>
      <c r="D182" s="11">
        <v>3</v>
      </c>
      <c r="E182" s="11">
        <f>D182-VLOOKUP('Item Look Up Table'!$A$14,'Item Look Up Table'!$A$2:$B$15,2,FALSE)</f>
        <v>2.5</v>
      </c>
      <c r="F182" s="19">
        <f>VLOOKUP('Item Look Up Table'!$A$14,'Item Look Up Table'!$A$1:$C$15,3,FALSE)</f>
        <v>150</v>
      </c>
    </row>
    <row r="183" spans="1:6" x14ac:dyDescent="0.25">
      <c r="A183" s="3">
        <v>44570</v>
      </c>
      <c r="B183" s="5" t="s">
        <v>10</v>
      </c>
      <c r="C183" s="5" t="s">
        <v>14</v>
      </c>
      <c r="D183" s="11">
        <v>3</v>
      </c>
      <c r="E183" s="11">
        <f>D183-VLOOKUP('Item Look Up Table'!$A$3,'Item Look Up Table'!$A$2:B$15,2,FALSE)</f>
        <v>2.5</v>
      </c>
      <c r="F183" s="19">
        <f>VLOOKUP('Item Look Up Table'!$A$3,'Item Look Up Table'!$A$1:$C$15,3,FALSE)</f>
        <v>0</v>
      </c>
    </row>
    <row r="184" spans="1:6" x14ac:dyDescent="0.25">
      <c r="A184" s="3">
        <v>44570</v>
      </c>
      <c r="B184" s="5" t="s">
        <v>6</v>
      </c>
      <c r="C184" s="5" t="s">
        <v>3</v>
      </c>
      <c r="D184" s="11">
        <v>3</v>
      </c>
      <c r="E184" s="11">
        <f>D184-VLOOKUP('Item Look Up Table'!$A$7,'Item Look Up Table'!$A$2:$B$15,2,FALSE)</f>
        <v>1.5</v>
      </c>
      <c r="F184" s="19">
        <f>VLOOKUP('Item Look Up Table'!$A$7,'Item Look Up Table'!$A$1:$C$15,3,FALSE)</f>
        <v>320</v>
      </c>
    </row>
    <row r="185" spans="1:6" x14ac:dyDescent="0.25">
      <c r="A185" s="3">
        <v>44570</v>
      </c>
      <c r="B185" s="5" t="s">
        <v>16</v>
      </c>
      <c r="C185" s="5" t="s">
        <v>19</v>
      </c>
      <c r="D185" s="11">
        <v>3</v>
      </c>
      <c r="E185" s="11">
        <f>D185-VLOOKUP('Item Look Up Table'!$A$9,'Item Look Up Table'!$A$2:$B$15,2,FALSE)</f>
        <v>1.5</v>
      </c>
      <c r="F185" s="19">
        <f>VLOOKUP('Item Look Up Table'!$A$9,'Item Look Up Table'!$A$1:$C$15,3,FALSE)</f>
        <v>240</v>
      </c>
    </row>
    <row r="186" spans="1:6" x14ac:dyDescent="0.25">
      <c r="A186" s="3">
        <v>44570</v>
      </c>
      <c r="B186" s="5" t="s">
        <v>13</v>
      </c>
      <c r="C186" s="5" t="s">
        <v>15</v>
      </c>
      <c r="D186" s="11">
        <v>2</v>
      </c>
      <c r="E186" s="11">
        <f>D186-VLOOKUP('Item Look Up Table'!$A$6,'Item Look Up Table'!$A$2:B$15,2,FALSE)</f>
        <v>0</v>
      </c>
      <c r="F186" s="19">
        <f>VLOOKUP('Item Look Up Table'!$A$6,'Item Look Up Table'!$A$1:$C$15,3,FALSE)</f>
        <v>300</v>
      </c>
    </row>
    <row r="187" spans="1:6" x14ac:dyDescent="0.25">
      <c r="A187" s="3">
        <v>44570</v>
      </c>
      <c r="B187" s="5" t="s">
        <v>10</v>
      </c>
      <c r="C187" s="5" t="s">
        <v>14</v>
      </c>
      <c r="D187" s="11">
        <v>3</v>
      </c>
      <c r="E187" s="11">
        <f>D187-VLOOKUP('Item Look Up Table'!$A$3,'Item Look Up Table'!$A$2:B$15,2,FALSE)</f>
        <v>2.5</v>
      </c>
      <c r="F187" s="19">
        <f>VLOOKUP('Item Look Up Table'!$A$3,'Item Look Up Table'!$A$1:$C$15,3,FALSE)</f>
        <v>0</v>
      </c>
    </row>
    <row r="188" spans="1:6" x14ac:dyDescent="0.25">
      <c r="A188" s="3">
        <v>44570</v>
      </c>
      <c r="B188" s="5" t="s">
        <v>2</v>
      </c>
      <c r="C188" s="5" t="s">
        <v>3</v>
      </c>
      <c r="D188" s="11">
        <v>1.5</v>
      </c>
      <c r="E188" s="11">
        <f>D188-VLOOKUP('Item Look Up Table'!$A$8,'Item Look Up Table'!$A$2:$B$15,2,FALSE)</f>
        <v>1</v>
      </c>
      <c r="F188" s="19">
        <f>VLOOKUP('Item Look Up Table'!$A$8,'Item Look Up Table'!$A$1:$C$15,3,FALSE)</f>
        <v>265</v>
      </c>
    </row>
    <row r="189" spans="1:6" x14ac:dyDescent="0.25">
      <c r="A189" s="3">
        <v>44570</v>
      </c>
      <c r="B189" s="5" t="s">
        <v>9</v>
      </c>
      <c r="C189" s="5" t="s">
        <v>14</v>
      </c>
      <c r="D189" s="11">
        <v>2.5</v>
      </c>
      <c r="E189" s="11">
        <f>D189-VLOOKUP('Item Look Up Table'!$A$15,'Item Look Up Table'!$A$2:$B$15,2,FALSE)</f>
        <v>1.5</v>
      </c>
      <c r="F189" s="19">
        <f>VLOOKUP('Item Look Up Table'!$A$15,'Item Look Up Table'!$A$1:$C$15,3,FALSE)</f>
        <v>120</v>
      </c>
    </row>
    <row r="190" spans="1:6" x14ac:dyDescent="0.25">
      <c r="A190" s="3">
        <v>44570</v>
      </c>
      <c r="B190" s="5" t="s">
        <v>5</v>
      </c>
      <c r="C190" s="5" t="s">
        <v>3</v>
      </c>
      <c r="D190" s="11">
        <v>2</v>
      </c>
      <c r="E190" s="11">
        <f>D190-VLOOKUP('Item Look Up Table'!$A$12,'Item Look Up Table'!$A$2:$B$15,2,FALSE)</f>
        <v>1</v>
      </c>
      <c r="F190" s="19">
        <f>VLOOKUP('Item Look Up Table'!$A$12,'Item Look Up Table'!$A$1:$C$15,3,FALSE)</f>
        <v>480</v>
      </c>
    </row>
    <row r="191" spans="1:6" x14ac:dyDescent="0.25">
      <c r="A191" s="3">
        <v>44570</v>
      </c>
      <c r="B191" s="5" t="s">
        <v>7</v>
      </c>
      <c r="C191" s="5" t="s">
        <v>3</v>
      </c>
      <c r="D191" s="11">
        <v>5</v>
      </c>
      <c r="E191" s="11">
        <f>D191-VLOOKUP('Item Look Up Table'!$A$13,'Item Look Up Table'!$A$2:$B$15,2,FALSE)</f>
        <v>4.5</v>
      </c>
      <c r="F191" s="19">
        <f>VLOOKUP('Item Look Up Table'!$A$13,'Item Look Up Table'!$A$1:$C$15,3,FALSE)</f>
        <v>500</v>
      </c>
    </row>
    <row r="192" spans="1:6" x14ac:dyDescent="0.25">
      <c r="A192" s="3">
        <v>44570</v>
      </c>
      <c r="B192" s="5" t="s">
        <v>7</v>
      </c>
      <c r="C192" s="5" t="s">
        <v>3</v>
      </c>
      <c r="D192" s="11">
        <v>5</v>
      </c>
      <c r="E192" s="11">
        <f>D192-VLOOKUP('Item Look Up Table'!$A$13,'Item Look Up Table'!$A$2:$B$15,2,FALSE)</f>
        <v>4.5</v>
      </c>
      <c r="F192" s="19">
        <f>VLOOKUP('Item Look Up Table'!$A$13,'Item Look Up Table'!$A$1:$C$15,3,FALSE)</f>
        <v>500</v>
      </c>
    </row>
    <row r="193" spans="1:6" x14ac:dyDescent="0.25">
      <c r="A193" s="3">
        <v>44570</v>
      </c>
      <c r="B193" s="5" t="s">
        <v>16</v>
      </c>
      <c r="C193" s="5" t="s">
        <v>19</v>
      </c>
      <c r="D193" s="11">
        <v>3</v>
      </c>
      <c r="E193" s="11">
        <f>D193-VLOOKUP('Item Look Up Table'!$A$9,'Item Look Up Table'!$A$2:$B$15,2,FALSE)</f>
        <v>1.5</v>
      </c>
      <c r="F193" s="19">
        <f>VLOOKUP('Item Look Up Table'!$A$9,'Item Look Up Table'!$A$1:$C$15,3,FALSE)</f>
        <v>240</v>
      </c>
    </row>
    <row r="194" spans="1:6" x14ac:dyDescent="0.25">
      <c r="A194" s="3">
        <v>44570</v>
      </c>
      <c r="B194" s="5" t="s">
        <v>7</v>
      </c>
      <c r="C194" s="5" t="s">
        <v>3</v>
      </c>
      <c r="D194" s="11">
        <v>5</v>
      </c>
      <c r="E194" s="11">
        <f>D194-VLOOKUP('Item Look Up Table'!$A$13,'Item Look Up Table'!$A$2:$B$15,2,FALSE)</f>
        <v>4.5</v>
      </c>
      <c r="F194" s="19">
        <f>VLOOKUP('Item Look Up Table'!$A$13,'Item Look Up Table'!$A$1:$C$15,3,FALSE)</f>
        <v>500</v>
      </c>
    </row>
    <row r="195" spans="1:6" x14ac:dyDescent="0.25">
      <c r="A195" s="3">
        <v>44570</v>
      </c>
      <c r="B195" s="5" t="s">
        <v>10</v>
      </c>
      <c r="C195" s="5" t="s">
        <v>14</v>
      </c>
      <c r="D195" s="11">
        <v>3</v>
      </c>
      <c r="E195" s="11">
        <f>D195-VLOOKUP('Item Look Up Table'!$A$3,'Item Look Up Table'!$A$2:B$15,2,FALSE)</f>
        <v>2.5</v>
      </c>
      <c r="F195" s="19">
        <f>VLOOKUP('Item Look Up Table'!$A$3,'Item Look Up Table'!$A$1:$C$15,3,FALSE)</f>
        <v>0</v>
      </c>
    </row>
    <row r="196" spans="1:6" x14ac:dyDescent="0.25">
      <c r="A196" s="3">
        <v>44570</v>
      </c>
      <c r="B196" s="5" t="s">
        <v>11</v>
      </c>
      <c r="C196" s="5" t="s">
        <v>15</v>
      </c>
      <c r="D196" s="11">
        <v>2</v>
      </c>
      <c r="E196" s="11">
        <f>D196-VLOOKUP('Item Look Up Table'!$A$10,'Item Look Up Table'!$A$2:$B$15,2,FALSE)</f>
        <v>1</v>
      </c>
      <c r="F196" s="19">
        <f>VLOOKUP('Item Look Up Table'!$A$10,'Item Look Up Table'!$A$1:$C$15,3,FALSE)</f>
        <v>280</v>
      </c>
    </row>
    <row r="197" spans="1:6" x14ac:dyDescent="0.25">
      <c r="A197" s="3">
        <v>44570</v>
      </c>
      <c r="B197" s="5" t="s">
        <v>10</v>
      </c>
      <c r="C197" s="5" t="s">
        <v>14</v>
      </c>
      <c r="D197" s="11">
        <v>3</v>
      </c>
      <c r="E197" s="11">
        <f>D197-VLOOKUP('Item Look Up Table'!$A$3,'Item Look Up Table'!$A$2:B$15,2,FALSE)</f>
        <v>2.5</v>
      </c>
      <c r="F197" s="19">
        <f>VLOOKUP('Item Look Up Table'!$A$3,'Item Look Up Table'!$A$1:$C$15,3,FALSE)</f>
        <v>0</v>
      </c>
    </row>
    <row r="198" spans="1:6" x14ac:dyDescent="0.25">
      <c r="A198" s="3">
        <v>44570</v>
      </c>
      <c r="B198" s="5" t="s">
        <v>16</v>
      </c>
      <c r="C198" s="5" t="s">
        <v>19</v>
      </c>
      <c r="D198" s="11">
        <v>3</v>
      </c>
      <c r="E198" s="11">
        <f>D198-VLOOKUP('Item Look Up Table'!$A$9,'Item Look Up Table'!$A$2:$B$15,2,FALSE)</f>
        <v>1.5</v>
      </c>
      <c r="F198" s="19">
        <f>VLOOKUP('Item Look Up Table'!$A$9,'Item Look Up Table'!$A$1:$C$15,3,FALSE)</f>
        <v>240</v>
      </c>
    </row>
    <row r="199" spans="1:6" x14ac:dyDescent="0.25">
      <c r="A199" s="3">
        <v>44570</v>
      </c>
      <c r="B199" s="5" t="s">
        <v>5</v>
      </c>
      <c r="C199" s="5" t="s">
        <v>3</v>
      </c>
      <c r="D199" s="11">
        <v>2</v>
      </c>
      <c r="E199" s="11">
        <f>D199-VLOOKUP('Item Look Up Table'!$A$12,'Item Look Up Table'!$A$2:$B$15,2,FALSE)</f>
        <v>1</v>
      </c>
      <c r="F199" s="19">
        <f>VLOOKUP('Item Look Up Table'!$A$12,'Item Look Up Table'!$A$1:$C$15,3,FALSE)</f>
        <v>480</v>
      </c>
    </row>
    <row r="200" spans="1:6" x14ac:dyDescent="0.25">
      <c r="A200" s="3">
        <v>44570</v>
      </c>
      <c r="B200" s="5" t="s">
        <v>5</v>
      </c>
      <c r="C200" s="5" t="s">
        <v>3</v>
      </c>
      <c r="D200" s="11">
        <v>2</v>
      </c>
      <c r="E200" s="11">
        <f>D200-VLOOKUP('Item Look Up Table'!$A$12,'Item Look Up Table'!$A$2:$B$15,2,FALSE)</f>
        <v>1</v>
      </c>
      <c r="F200" s="19">
        <f>VLOOKUP('Item Look Up Table'!$A$12,'Item Look Up Table'!$A$1:$C$15,3,FALSE)</f>
        <v>480</v>
      </c>
    </row>
  </sheetData>
  <autoFilter ref="B1:D200" xr:uid="{2EC04396-4D27-4DFE-A1AE-9705DBA9FE73}"/>
  <sortState xmlns:xlrd2="http://schemas.microsoft.com/office/spreadsheetml/2017/richdata2" ref="A2:F200">
    <sortCondition ref="A2:A200"/>
  </sortState>
  <pageMargins left="0.75" right="0.75" top="1" bottom="1" header="0.5" footer="0.5"/>
  <pageSetup orientation="portrait" horizontalDpi="4294967292" verticalDpi="4294967292"/>
  <ignoredErrors>
    <ignoredError sqref="E72:F72 E76:F76 E81:F81 E83:F83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>
      <selection activeCell="E18" sqref="E18"/>
    </sheetView>
  </sheetViews>
  <sheetFormatPr defaultColWidth="11" defaultRowHeight="15.75" x14ac:dyDescent="0.25"/>
  <cols>
    <col min="1" max="1" width="20" bestFit="1" customWidth="1"/>
    <col min="2" max="2" width="20" style="2" customWidth="1"/>
  </cols>
  <sheetData>
    <row r="1" spans="1:15" x14ac:dyDescent="0.25">
      <c r="A1" t="s">
        <v>0</v>
      </c>
      <c r="B1" s="2" t="s">
        <v>22</v>
      </c>
      <c r="C1" t="s">
        <v>20</v>
      </c>
    </row>
    <row r="2" spans="1:15" x14ac:dyDescent="0.25">
      <c r="A2" t="s">
        <v>8</v>
      </c>
      <c r="B2" s="2">
        <v>2</v>
      </c>
      <c r="C2">
        <v>200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t="s">
        <v>10</v>
      </c>
      <c r="B3" s="2">
        <v>0.5</v>
      </c>
      <c r="C3">
        <v>0</v>
      </c>
    </row>
    <row r="4" spans="1:15" x14ac:dyDescent="0.25">
      <c r="A4" t="s">
        <v>12</v>
      </c>
      <c r="B4" s="2">
        <v>1</v>
      </c>
      <c r="C4">
        <v>255</v>
      </c>
    </row>
    <row r="5" spans="1:15" x14ac:dyDescent="0.25">
      <c r="A5" t="s">
        <v>17</v>
      </c>
      <c r="B5" s="2">
        <v>1</v>
      </c>
      <c r="C5">
        <v>300</v>
      </c>
    </row>
    <row r="6" spans="1:15" x14ac:dyDescent="0.25">
      <c r="A6" t="s">
        <v>13</v>
      </c>
      <c r="B6" s="2">
        <v>2</v>
      </c>
      <c r="C6">
        <v>300</v>
      </c>
    </row>
    <row r="7" spans="1:15" x14ac:dyDescent="0.25">
      <c r="A7" t="s">
        <v>6</v>
      </c>
      <c r="B7" s="2">
        <v>1.5</v>
      </c>
      <c r="C7">
        <v>320</v>
      </c>
    </row>
    <row r="8" spans="1:15" x14ac:dyDescent="0.25">
      <c r="A8" t="s">
        <v>2</v>
      </c>
      <c r="B8" s="2">
        <v>0.5</v>
      </c>
      <c r="C8">
        <v>265</v>
      </c>
    </row>
    <row r="9" spans="1:15" x14ac:dyDescent="0.25">
      <c r="A9" t="s">
        <v>16</v>
      </c>
      <c r="B9" s="2">
        <v>1.5</v>
      </c>
      <c r="C9">
        <v>240</v>
      </c>
    </row>
    <row r="10" spans="1:15" x14ac:dyDescent="0.25">
      <c r="A10" t="s">
        <v>11</v>
      </c>
      <c r="B10" s="2">
        <v>1</v>
      </c>
      <c r="C10">
        <v>280</v>
      </c>
    </row>
    <row r="11" spans="1:15" x14ac:dyDescent="0.25">
      <c r="A11" t="s">
        <v>4</v>
      </c>
      <c r="B11" s="2">
        <v>2.5</v>
      </c>
      <c r="C11">
        <v>560</v>
      </c>
    </row>
    <row r="12" spans="1:15" x14ac:dyDescent="0.25">
      <c r="A12" t="s">
        <v>5</v>
      </c>
      <c r="B12" s="2">
        <v>1</v>
      </c>
      <c r="C12">
        <v>480</v>
      </c>
    </row>
    <row r="13" spans="1:15" x14ac:dyDescent="0.25">
      <c r="A13" t="s">
        <v>7</v>
      </c>
      <c r="B13" s="2">
        <v>0.5</v>
      </c>
      <c r="C13">
        <v>500</v>
      </c>
    </row>
    <row r="14" spans="1:15" x14ac:dyDescent="0.25">
      <c r="A14" t="s">
        <v>18</v>
      </c>
      <c r="B14" s="2">
        <v>0.5</v>
      </c>
      <c r="C14">
        <v>150</v>
      </c>
    </row>
    <row r="15" spans="1:15" x14ac:dyDescent="0.25">
      <c r="A15" t="s">
        <v>9</v>
      </c>
      <c r="B15" s="2">
        <v>1</v>
      </c>
      <c r="C15">
        <v>120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Transactions</vt:lpstr>
      <vt:lpstr>Item Look 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wade eckert</cp:lastModifiedBy>
  <dcterms:created xsi:type="dcterms:W3CDTF">2013-01-21T18:22:23Z</dcterms:created>
  <dcterms:modified xsi:type="dcterms:W3CDTF">2025-04-09T09:49:13Z</dcterms:modified>
</cp:coreProperties>
</file>