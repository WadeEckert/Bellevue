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2a0534719079248d/Desktop/Spring 2025 Term/Data Science/Week 7 Project/"/>
    </mc:Choice>
  </mc:AlternateContent>
  <xr:revisionPtr revIDLastSave="7" documentId="11_F6E0FD3FD9D364F1EA35AEDC469C494391A057C6" xr6:coauthVersionLast="47" xr6:coauthVersionMax="47" xr10:uidLastSave="{374AA8D1-C96F-47B5-8CEB-87756859C233}"/>
  <bookViews>
    <workbookView xWindow="-120" yWindow="-120" windowWidth="29040" windowHeight="15840" tabRatio="726" xr2:uid="{00000000-000D-0000-FFFF-FFFF00000000}"/>
  </bookViews>
  <sheets>
    <sheet name="Basketball Game Sales" sheetId="1" r:id="rId1"/>
    <sheet name="Calories" sheetId="3" r:id="rId2"/>
    <sheet name="Pivot" sheetId="9" r:id="rId3"/>
    <sheet name="Fee Schedule" sheetId="4" r:id="rId4"/>
    <sheet name="Revenue By Item" sheetId="6" r:id="rId5"/>
    <sheet name="Calories-Solver" sheetId="10" r:id="rId6"/>
  </sheets>
  <definedNames>
    <definedName name="_xlnm._FilterDatabase" localSheetId="0" hidden="1">'Basketball Game Sales'!$B$1:$G$200</definedName>
    <definedName name="solver_adj" localSheetId="5" hidden="1">'Calories-Solver'!$C$2:$C$15</definedName>
    <definedName name="solver_cvg" localSheetId="5" hidden="1">0.0001</definedName>
    <definedName name="solver_drv" localSheetId="5" hidden="1">1</definedName>
    <definedName name="solver_eng" localSheetId="5" hidden="1">2</definedName>
    <definedName name="solver_itr" localSheetId="5" hidden="1">2147483647</definedName>
    <definedName name="solver_lhs1" localSheetId="5" hidden="1">'Calories-Solver'!$C$17</definedName>
    <definedName name="solver_lhs2" localSheetId="5" hidden="1">'Calories-Solver'!$C$2:$C$15</definedName>
    <definedName name="solver_lin" localSheetId="5" hidden="1">1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1</definedName>
    <definedName name="solver_nod" localSheetId="5" hidden="1">2147483647</definedName>
    <definedName name="solver_num" localSheetId="5" hidden="1">2</definedName>
    <definedName name="solver_opt" localSheetId="5" hidden="1">'Calories-Solver'!$C$16</definedName>
    <definedName name="solver_pre" localSheetId="5" hidden="1">0.000001</definedName>
    <definedName name="solver_rbv" localSheetId="5" hidden="1">1</definedName>
    <definedName name="solver_rel1" localSheetId="5" hidden="1">2</definedName>
    <definedName name="solver_rel2" localSheetId="5" hidden="1">4</definedName>
    <definedName name="solver_rhs1" localSheetId="5" hidden="1">2400</definedName>
    <definedName name="solver_rhs2" localSheetId="5" hidden="1">integer</definedName>
    <definedName name="solver_rlx" localSheetId="5" hidden="1">2</definedName>
    <definedName name="solver_rsd" localSheetId="5" hidden="1">0</definedName>
    <definedName name="solver_scl" localSheetId="5" hidden="1">2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2</definedName>
    <definedName name="solver_val" localSheetId="5" hidden="1">0</definedName>
    <definedName name="solver_ver" localSheetId="5" hidden="1">2</definedName>
  </definedNames>
  <calcPr calcId="191029" concurrentCalc="0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7" i="10" l="1"/>
  <c r="C16" i="10"/>
  <c r="D2" i="6" a="1"/>
  <c r="D2" i="6"/>
  <c r="B21" i="3"/>
  <c r="B20" i="3"/>
  <c r="B19" i="3"/>
  <c r="B18" i="3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<sst xmlns="http://schemas.openxmlformats.org/spreadsheetml/2006/main" count="495" uniqueCount="38">
  <si>
    <t>Item</t>
  </si>
  <si>
    <t>Category</t>
  </si>
  <si>
    <t>Price</t>
  </si>
  <si>
    <t>Profit</t>
  </si>
  <si>
    <t>Hot Dog</t>
  </si>
  <si>
    <t>Hot Food</t>
  </si>
  <si>
    <t>Nachos</t>
  </si>
  <si>
    <t>Pizza</t>
  </si>
  <si>
    <t>Hamburger</t>
  </si>
  <si>
    <t>Popcorn</t>
  </si>
  <si>
    <t>Beer</t>
  </si>
  <si>
    <t>Soda</t>
  </si>
  <si>
    <t>Bottled Water</t>
  </si>
  <si>
    <t>Licorice Rope</t>
  </si>
  <si>
    <t>Chocolate Bar</t>
  </si>
  <si>
    <t>Gummy Bears</t>
  </si>
  <si>
    <t>Beverages</t>
  </si>
  <si>
    <t>Candy</t>
  </si>
  <si>
    <t>Ice Cream Sandwich</t>
  </si>
  <si>
    <t>Chocolate Dipped Cone</t>
  </si>
  <si>
    <t>Popsicle</t>
  </si>
  <si>
    <t>Frozen Treats</t>
  </si>
  <si>
    <t>Actual Profit</t>
  </si>
  <si>
    <t>Row Labels</t>
  </si>
  <si>
    <t>Grand Total</t>
  </si>
  <si>
    <t>Calories</t>
  </si>
  <si>
    <t>Sum of Price</t>
  </si>
  <si>
    <t>Percent</t>
  </si>
  <si>
    <t>Total Cut for Coach:</t>
  </si>
  <si>
    <t>Total</t>
  </si>
  <si>
    <t>Match</t>
  </si>
  <si>
    <t>Index</t>
  </si>
  <si>
    <t>Offset</t>
  </si>
  <si>
    <t>Small</t>
  </si>
  <si>
    <t>How many?</t>
  </si>
  <si>
    <t>Total Items:</t>
  </si>
  <si>
    <t>Total Calories: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</si>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</sst>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scheme val="minor"/>
    </font>
    <font>
      <b/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9" fontId="0" fillId="0" borderId="0" xfId="2" applyFont="1"/>
    <xf numFmtId="44" fontId="0" fillId="0" borderId="0" xfId="1" applyFont="1"/>
    <xf numFmtId="0" fontId="0" fillId="0" borderId="1" xfId="0" applyBorder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14" fontId="0" fillId="0" borderId="0" xfId="0" applyNumberFormat="1"/>
  </cellXfs>
  <cellStyles count="43">
    <cellStyle name="Currency" xfId="1" builtinId="4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Calories!$B$1</c:f>
              <c:strCache>
                <c:ptCount val="1"/>
                <c:pt idx="0">
                  <c:v>Calories</c:v>
                </c:pt>
              </c:strCache>
            </c:strRef>
          </c:tx>
          <c:spPr>
            <a:solidFill>
              <a:schemeClr val="tx1"/>
            </a:solidFill>
          </c:spPr>
          <c:invertIfNegative val="0"/>
          <c:cat>
            <c:strRef>
              <c:f>Calories!$A$2:$A$15</c:f>
              <c:strCache>
                <c:ptCount val="14"/>
                <c:pt idx="0">
                  <c:v>Beer</c:v>
                </c:pt>
                <c:pt idx="1">
                  <c:v>Bottled Water</c:v>
                </c:pt>
                <c:pt idx="2">
                  <c:v>Chocolate Bar</c:v>
                </c:pt>
                <c:pt idx="3">
                  <c:v>Chocolate Dipped Cone</c:v>
                </c:pt>
                <c:pt idx="4">
                  <c:v>Gummy Bears</c:v>
                </c:pt>
                <c:pt idx="5">
                  <c:v>Hamburger</c:v>
                </c:pt>
                <c:pt idx="6">
                  <c:v>Hot Dog</c:v>
                </c:pt>
                <c:pt idx="7">
                  <c:v>Ice Cream Sandwich</c:v>
                </c:pt>
                <c:pt idx="8">
                  <c:v>Licorice Rope</c:v>
                </c:pt>
                <c:pt idx="9">
                  <c:v>Nachos</c:v>
                </c:pt>
                <c:pt idx="10">
                  <c:v>Pizza</c:v>
                </c:pt>
                <c:pt idx="11">
                  <c:v>Popcorn</c:v>
                </c:pt>
                <c:pt idx="12">
                  <c:v>Popsicle</c:v>
                </c:pt>
                <c:pt idx="13">
                  <c:v>Soda</c:v>
                </c:pt>
              </c:strCache>
            </c:strRef>
          </c:cat>
          <c:val>
            <c:numRef>
              <c:f>Calories!$B$2:$B$15</c:f>
              <c:numCache>
                <c:formatCode>General</c:formatCode>
                <c:ptCount val="14"/>
                <c:pt idx="0">
                  <c:v>200</c:v>
                </c:pt>
                <c:pt idx="1">
                  <c:v>0</c:v>
                </c:pt>
                <c:pt idx="2">
                  <c:v>255</c:v>
                </c:pt>
                <c:pt idx="3">
                  <c:v>300</c:v>
                </c:pt>
                <c:pt idx="4">
                  <c:v>300</c:v>
                </c:pt>
                <c:pt idx="5">
                  <c:v>320</c:v>
                </c:pt>
                <c:pt idx="6">
                  <c:v>265</c:v>
                </c:pt>
                <c:pt idx="7">
                  <c:v>240</c:v>
                </c:pt>
                <c:pt idx="8">
                  <c:v>280</c:v>
                </c:pt>
                <c:pt idx="9">
                  <c:v>560</c:v>
                </c:pt>
                <c:pt idx="10">
                  <c:v>480</c:v>
                </c:pt>
                <c:pt idx="11">
                  <c:v>500</c:v>
                </c:pt>
                <c:pt idx="12">
                  <c:v>150</c:v>
                </c:pt>
                <c:pt idx="13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C3-4435-8433-1422DC764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4469304"/>
        <c:axId val="334471096"/>
      </c:barChart>
      <c:catAx>
        <c:axId val="334469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34471096"/>
        <c:crosses val="autoZero"/>
        <c:auto val="1"/>
        <c:lblAlgn val="ctr"/>
        <c:lblOffset val="100"/>
        <c:noMultiLvlLbl val="0"/>
      </c:catAx>
      <c:valAx>
        <c:axId val="334471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446930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800"/>
      </a:pPr>
      <a:endParaRPr lang="en-US"/>
    </a:p>
  </c:txPr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0</xdr:row>
      <xdr:rowOff>101600</xdr:rowOff>
    </xdr:from>
    <xdr:to>
      <xdr:col>11</xdr:col>
      <xdr:colOff>381000</xdr:colOff>
      <xdr:row>26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 Foreman" refreshedDate="41304.551268750001" createdVersion="4" refreshedVersion="4" minRefreshableVersion="3" recordCount="199" xr:uid="{00000000-000A-0000-FFFF-FFFF00000000}">
  <cacheSource type="worksheet">
    <worksheetSource ref="B1:G200" sheet="Basketball Game Sales"/>
  </cacheSource>
  <cacheFields count="6">
    <cacheField name="Item" numFmtId="0">
      <sharedItems count="14">
        <s v="Beer"/>
        <s v="Hamburger"/>
        <s v="Popcorn"/>
        <s v="Pizza"/>
        <s v="Bottled Water"/>
        <s v="Hot Dog"/>
        <s v="Chocolate Dipped Cone"/>
        <s v="Soda"/>
        <s v="Chocolate Bar"/>
        <s v="Licorice Rope"/>
        <s v="Nachos"/>
        <s v="Gummy Bears"/>
        <s v="Ice Cream Sandwich"/>
        <s v="Popsicle"/>
      </sharedItems>
    </cacheField>
    <cacheField name="Category" numFmtId="0">
      <sharedItems count="4">
        <s v="Beverages"/>
        <s v="Hot Food"/>
        <s v="Frozen Treats"/>
        <s v="Candy"/>
      </sharedItems>
    </cacheField>
    <cacheField name="Price" numFmtId="44">
      <sharedItems containsSemiMixedTypes="0" containsString="0" containsNumber="1" minValue="1.5" maxValue="5"/>
    </cacheField>
    <cacheField name="Profit" numFmtId="9">
      <sharedItems containsSemiMixedTypes="0" containsString="0" containsNumber="1" minValue="0.25" maxValue="0.83333333333333337"/>
    </cacheField>
    <cacheField name="Actual Profit" numFmtId="44">
      <sharedItems containsSemiMixedTypes="0" containsString="0" containsNumber="1" minValue="0.5" maxValue="4"/>
    </cacheField>
    <cacheField name="Calories" numFmtId="0">
      <sharedItems containsSemiMixedTypes="0" containsString="0" containsNumber="1" containsInteger="1" minValue="0" maxValue="5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9">
  <r>
    <x v="0"/>
    <x v="0"/>
    <n v="4"/>
    <n v="0.5"/>
    <n v="2"/>
    <n v="200"/>
  </r>
  <r>
    <x v="1"/>
    <x v="1"/>
    <n v="3"/>
    <n v="0.66666666666666663"/>
    <n v="2"/>
    <n v="320"/>
  </r>
  <r>
    <x v="2"/>
    <x v="1"/>
    <n v="5"/>
    <n v="0.8"/>
    <n v="4"/>
    <n v="500"/>
  </r>
  <r>
    <x v="3"/>
    <x v="1"/>
    <n v="2"/>
    <n v="0.25"/>
    <n v="0.5"/>
    <n v="480"/>
  </r>
  <r>
    <x v="4"/>
    <x v="0"/>
    <n v="3"/>
    <n v="0.83333333333333337"/>
    <n v="2.5"/>
    <n v="0"/>
  </r>
  <r>
    <x v="5"/>
    <x v="1"/>
    <n v="1.5"/>
    <n v="0.66666666666666663"/>
    <n v="1"/>
    <n v="265"/>
  </r>
  <r>
    <x v="6"/>
    <x v="2"/>
    <n v="3"/>
    <n v="0.5"/>
    <n v="1.5"/>
    <n v="300"/>
  </r>
  <r>
    <x v="7"/>
    <x v="0"/>
    <n v="2.5"/>
    <n v="0.8"/>
    <n v="2"/>
    <n v="120"/>
  </r>
  <r>
    <x v="8"/>
    <x v="3"/>
    <n v="2"/>
    <n v="0.75"/>
    <n v="1.5"/>
    <n v="255"/>
  </r>
  <r>
    <x v="1"/>
    <x v="1"/>
    <n v="3"/>
    <n v="0.66666666666666663"/>
    <n v="2"/>
    <n v="320"/>
  </r>
  <r>
    <x v="0"/>
    <x v="0"/>
    <n v="4"/>
    <n v="0.5"/>
    <n v="2"/>
    <n v="200"/>
  </r>
  <r>
    <x v="5"/>
    <x v="1"/>
    <n v="1.5"/>
    <n v="0.66666666666666663"/>
    <n v="1"/>
    <n v="265"/>
  </r>
  <r>
    <x v="9"/>
    <x v="3"/>
    <n v="2"/>
    <n v="0.5"/>
    <n v="1"/>
    <n v="280"/>
  </r>
  <r>
    <x v="6"/>
    <x v="2"/>
    <n v="3"/>
    <n v="0.5"/>
    <n v="1.5"/>
    <n v="300"/>
  </r>
  <r>
    <x v="10"/>
    <x v="1"/>
    <n v="3"/>
    <n v="0.5"/>
    <n v="1.5"/>
    <n v="560"/>
  </r>
  <r>
    <x v="3"/>
    <x v="1"/>
    <n v="2"/>
    <n v="0.25"/>
    <n v="0.5"/>
    <n v="480"/>
  </r>
  <r>
    <x v="0"/>
    <x v="0"/>
    <n v="4"/>
    <n v="0.5"/>
    <n v="2"/>
    <n v="200"/>
  </r>
  <r>
    <x v="7"/>
    <x v="0"/>
    <n v="2.5"/>
    <n v="0.8"/>
    <n v="2"/>
    <n v="120"/>
  </r>
  <r>
    <x v="0"/>
    <x v="0"/>
    <n v="4"/>
    <n v="0.5"/>
    <n v="2"/>
    <n v="200"/>
  </r>
  <r>
    <x v="1"/>
    <x v="1"/>
    <n v="3"/>
    <n v="0.66666666666666663"/>
    <n v="2"/>
    <n v="320"/>
  </r>
  <r>
    <x v="11"/>
    <x v="3"/>
    <n v="2"/>
    <n v="0.5"/>
    <n v="1"/>
    <n v="300"/>
  </r>
  <r>
    <x v="2"/>
    <x v="1"/>
    <n v="5"/>
    <n v="0.8"/>
    <n v="4"/>
    <n v="500"/>
  </r>
  <r>
    <x v="1"/>
    <x v="1"/>
    <n v="3"/>
    <n v="0.66666666666666663"/>
    <n v="2"/>
    <n v="320"/>
  </r>
  <r>
    <x v="10"/>
    <x v="1"/>
    <n v="3"/>
    <n v="0.5"/>
    <n v="1.5"/>
    <n v="560"/>
  </r>
  <r>
    <x v="10"/>
    <x v="1"/>
    <n v="3"/>
    <n v="0.5"/>
    <n v="1.5"/>
    <n v="560"/>
  </r>
  <r>
    <x v="6"/>
    <x v="2"/>
    <n v="3"/>
    <n v="0.5"/>
    <n v="1.5"/>
    <n v="300"/>
  </r>
  <r>
    <x v="8"/>
    <x v="3"/>
    <n v="2"/>
    <n v="0.75"/>
    <n v="1.5"/>
    <n v="255"/>
  </r>
  <r>
    <x v="1"/>
    <x v="1"/>
    <n v="3"/>
    <n v="0.66666666666666663"/>
    <n v="2"/>
    <n v="320"/>
  </r>
  <r>
    <x v="0"/>
    <x v="0"/>
    <n v="4"/>
    <n v="0.5"/>
    <n v="2"/>
    <n v="200"/>
  </r>
  <r>
    <x v="6"/>
    <x v="2"/>
    <n v="3"/>
    <n v="0.5"/>
    <n v="1.5"/>
    <n v="300"/>
  </r>
  <r>
    <x v="7"/>
    <x v="0"/>
    <n v="2.5"/>
    <n v="0.8"/>
    <n v="2"/>
    <n v="120"/>
  </r>
  <r>
    <x v="11"/>
    <x v="3"/>
    <n v="2"/>
    <n v="0.5"/>
    <n v="1"/>
    <n v="300"/>
  </r>
  <r>
    <x v="6"/>
    <x v="2"/>
    <n v="3"/>
    <n v="0.5"/>
    <n v="1.5"/>
    <n v="300"/>
  </r>
  <r>
    <x v="9"/>
    <x v="3"/>
    <n v="2"/>
    <n v="0.5"/>
    <n v="1"/>
    <n v="280"/>
  </r>
  <r>
    <x v="10"/>
    <x v="1"/>
    <n v="3"/>
    <n v="0.5"/>
    <n v="1.5"/>
    <n v="560"/>
  </r>
  <r>
    <x v="4"/>
    <x v="0"/>
    <n v="3"/>
    <n v="0.83333333333333337"/>
    <n v="2.5"/>
    <n v="0"/>
  </r>
  <r>
    <x v="4"/>
    <x v="0"/>
    <n v="3"/>
    <n v="0.83333333333333337"/>
    <n v="2.5"/>
    <n v="0"/>
  </r>
  <r>
    <x v="2"/>
    <x v="1"/>
    <n v="5"/>
    <n v="0.8"/>
    <n v="4"/>
    <n v="500"/>
  </r>
  <r>
    <x v="8"/>
    <x v="3"/>
    <n v="2"/>
    <n v="0.75"/>
    <n v="1.5"/>
    <n v="255"/>
  </r>
  <r>
    <x v="6"/>
    <x v="2"/>
    <n v="3"/>
    <n v="0.5"/>
    <n v="1.5"/>
    <n v="300"/>
  </r>
  <r>
    <x v="9"/>
    <x v="3"/>
    <n v="2"/>
    <n v="0.5"/>
    <n v="1"/>
    <n v="280"/>
  </r>
  <r>
    <x v="0"/>
    <x v="0"/>
    <n v="4"/>
    <n v="0.5"/>
    <n v="2"/>
    <n v="200"/>
  </r>
  <r>
    <x v="5"/>
    <x v="1"/>
    <n v="1.5"/>
    <n v="0.66666666666666663"/>
    <n v="1"/>
    <n v="265"/>
  </r>
  <r>
    <x v="8"/>
    <x v="3"/>
    <n v="2"/>
    <n v="0.75"/>
    <n v="1.5"/>
    <n v="255"/>
  </r>
  <r>
    <x v="3"/>
    <x v="1"/>
    <n v="2"/>
    <n v="0.25"/>
    <n v="0.5"/>
    <n v="480"/>
  </r>
  <r>
    <x v="1"/>
    <x v="1"/>
    <n v="3"/>
    <n v="0.66666666666666663"/>
    <n v="2"/>
    <n v="320"/>
  </r>
  <r>
    <x v="6"/>
    <x v="2"/>
    <n v="3"/>
    <n v="0.5"/>
    <n v="1.5"/>
    <n v="300"/>
  </r>
  <r>
    <x v="9"/>
    <x v="3"/>
    <n v="2"/>
    <n v="0.5"/>
    <n v="1"/>
    <n v="280"/>
  </r>
  <r>
    <x v="10"/>
    <x v="1"/>
    <n v="3"/>
    <n v="0.5"/>
    <n v="1.5"/>
    <n v="560"/>
  </r>
  <r>
    <x v="2"/>
    <x v="1"/>
    <n v="5"/>
    <n v="0.8"/>
    <n v="4"/>
    <n v="500"/>
  </r>
  <r>
    <x v="8"/>
    <x v="3"/>
    <n v="2"/>
    <n v="0.75"/>
    <n v="1.5"/>
    <n v="255"/>
  </r>
  <r>
    <x v="5"/>
    <x v="1"/>
    <n v="1.5"/>
    <n v="0.66666666666666663"/>
    <n v="1"/>
    <n v="265"/>
  </r>
  <r>
    <x v="2"/>
    <x v="1"/>
    <n v="5"/>
    <n v="0.8"/>
    <n v="4"/>
    <n v="500"/>
  </r>
  <r>
    <x v="0"/>
    <x v="0"/>
    <n v="4"/>
    <n v="0.5"/>
    <n v="2"/>
    <n v="200"/>
  </r>
  <r>
    <x v="6"/>
    <x v="2"/>
    <n v="3"/>
    <n v="0.5"/>
    <n v="1.5"/>
    <n v="300"/>
  </r>
  <r>
    <x v="11"/>
    <x v="3"/>
    <n v="2"/>
    <n v="0.5"/>
    <n v="1"/>
    <n v="300"/>
  </r>
  <r>
    <x v="9"/>
    <x v="3"/>
    <n v="2"/>
    <n v="0.5"/>
    <n v="1"/>
    <n v="280"/>
  </r>
  <r>
    <x v="0"/>
    <x v="0"/>
    <n v="4"/>
    <n v="0.5"/>
    <n v="2"/>
    <n v="200"/>
  </r>
  <r>
    <x v="9"/>
    <x v="3"/>
    <n v="2"/>
    <n v="0.5"/>
    <n v="1"/>
    <n v="280"/>
  </r>
  <r>
    <x v="0"/>
    <x v="0"/>
    <n v="4"/>
    <n v="0.5"/>
    <n v="2"/>
    <n v="200"/>
  </r>
  <r>
    <x v="7"/>
    <x v="0"/>
    <n v="2.5"/>
    <n v="0.8"/>
    <n v="2"/>
    <n v="120"/>
  </r>
  <r>
    <x v="5"/>
    <x v="1"/>
    <n v="1.5"/>
    <n v="0.66666666666666663"/>
    <n v="1"/>
    <n v="265"/>
  </r>
  <r>
    <x v="3"/>
    <x v="1"/>
    <n v="2"/>
    <n v="0.25"/>
    <n v="0.5"/>
    <n v="480"/>
  </r>
  <r>
    <x v="7"/>
    <x v="0"/>
    <n v="2.5"/>
    <n v="0.8"/>
    <n v="2"/>
    <n v="120"/>
  </r>
  <r>
    <x v="11"/>
    <x v="3"/>
    <n v="2"/>
    <n v="0.5"/>
    <n v="1"/>
    <n v="300"/>
  </r>
  <r>
    <x v="6"/>
    <x v="2"/>
    <n v="3"/>
    <n v="0.5"/>
    <n v="1.5"/>
    <n v="300"/>
  </r>
  <r>
    <x v="7"/>
    <x v="0"/>
    <n v="2.5"/>
    <n v="0.8"/>
    <n v="2"/>
    <n v="120"/>
  </r>
  <r>
    <x v="8"/>
    <x v="3"/>
    <n v="2"/>
    <n v="0.75"/>
    <n v="1.5"/>
    <n v="255"/>
  </r>
  <r>
    <x v="0"/>
    <x v="0"/>
    <n v="4"/>
    <n v="0.5"/>
    <n v="2"/>
    <n v="200"/>
  </r>
  <r>
    <x v="6"/>
    <x v="2"/>
    <n v="3"/>
    <n v="0.5"/>
    <n v="1.5"/>
    <n v="300"/>
  </r>
  <r>
    <x v="0"/>
    <x v="0"/>
    <n v="4"/>
    <n v="0.5"/>
    <n v="2"/>
    <n v="200"/>
  </r>
  <r>
    <x v="10"/>
    <x v="1"/>
    <n v="3"/>
    <n v="0.5"/>
    <n v="1.5"/>
    <n v="560"/>
  </r>
  <r>
    <x v="10"/>
    <x v="1"/>
    <n v="3"/>
    <n v="0.5"/>
    <n v="1.5"/>
    <n v="560"/>
  </r>
  <r>
    <x v="10"/>
    <x v="1"/>
    <n v="3"/>
    <n v="0.5"/>
    <n v="1.5"/>
    <n v="560"/>
  </r>
  <r>
    <x v="11"/>
    <x v="3"/>
    <n v="2"/>
    <n v="0.5"/>
    <n v="1"/>
    <n v="300"/>
  </r>
  <r>
    <x v="5"/>
    <x v="1"/>
    <n v="1.5"/>
    <n v="0.66666666666666663"/>
    <n v="1"/>
    <n v="265"/>
  </r>
  <r>
    <x v="3"/>
    <x v="1"/>
    <n v="2"/>
    <n v="0.25"/>
    <n v="0.5"/>
    <n v="480"/>
  </r>
  <r>
    <x v="4"/>
    <x v="0"/>
    <n v="3"/>
    <n v="0.83333333333333337"/>
    <n v="2.5"/>
    <n v="0"/>
  </r>
  <r>
    <x v="1"/>
    <x v="1"/>
    <n v="3"/>
    <n v="0.66666666666666663"/>
    <n v="2"/>
    <n v="320"/>
  </r>
  <r>
    <x v="6"/>
    <x v="2"/>
    <n v="3"/>
    <n v="0.5"/>
    <n v="1.5"/>
    <n v="300"/>
  </r>
  <r>
    <x v="2"/>
    <x v="1"/>
    <n v="5"/>
    <n v="0.8"/>
    <n v="4"/>
    <n v="500"/>
  </r>
  <r>
    <x v="5"/>
    <x v="1"/>
    <n v="1.5"/>
    <n v="0.66666666666666663"/>
    <n v="1"/>
    <n v="265"/>
  </r>
  <r>
    <x v="12"/>
    <x v="2"/>
    <n v="3"/>
    <n v="0.66666666666666663"/>
    <n v="2"/>
    <n v="240"/>
  </r>
  <r>
    <x v="8"/>
    <x v="3"/>
    <n v="2"/>
    <n v="0.75"/>
    <n v="1.5"/>
    <n v="255"/>
  </r>
  <r>
    <x v="9"/>
    <x v="3"/>
    <n v="2"/>
    <n v="0.5"/>
    <n v="1"/>
    <n v="280"/>
  </r>
  <r>
    <x v="0"/>
    <x v="0"/>
    <n v="4"/>
    <n v="0.5"/>
    <n v="2"/>
    <n v="200"/>
  </r>
  <r>
    <x v="5"/>
    <x v="1"/>
    <n v="1.5"/>
    <n v="0.66666666666666663"/>
    <n v="1"/>
    <n v="265"/>
  </r>
  <r>
    <x v="12"/>
    <x v="2"/>
    <n v="3"/>
    <n v="0.66666666666666663"/>
    <n v="2"/>
    <n v="240"/>
  </r>
  <r>
    <x v="5"/>
    <x v="1"/>
    <n v="1.5"/>
    <n v="0.66666666666666663"/>
    <n v="1"/>
    <n v="265"/>
  </r>
  <r>
    <x v="12"/>
    <x v="2"/>
    <n v="3"/>
    <n v="0.66666666666666663"/>
    <n v="2"/>
    <n v="240"/>
  </r>
  <r>
    <x v="7"/>
    <x v="0"/>
    <n v="2.5"/>
    <n v="0.8"/>
    <n v="2"/>
    <n v="120"/>
  </r>
  <r>
    <x v="8"/>
    <x v="3"/>
    <n v="2"/>
    <n v="0.75"/>
    <n v="1.5"/>
    <n v="255"/>
  </r>
  <r>
    <x v="11"/>
    <x v="3"/>
    <n v="2"/>
    <n v="0.5"/>
    <n v="1"/>
    <n v="300"/>
  </r>
  <r>
    <x v="3"/>
    <x v="1"/>
    <n v="2"/>
    <n v="0.25"/>
    <n v="0.5"/>
    <n v="480"/>
  </r>
  <r>
    <x v="5"/>
    <x v="1"/>
    <n v="1.5"/>
    <n v="0.66666666666666663"/>
    <n v="1"/>
    <n v="265"/>
  </r>
  <r>
    <x v="11"/>
    <x v="3"/>
    <n v="2"/>
    <n v="0.5"/>
    <n v="1"/>
    <n v="300"/>
  </r>
  <r>
    <x v="12"/>
    <x v="2"/>
    <n v="3"/>
    <n v="0.66666666666666663"/>
    <n v="2"/>
    <n v="240"/>
  </r>
  <r>
    <x v="9"/>
    <x v="3"/>
    <n v="2"/>
    <n v="0.5"/>
    <n v="1"/>
    <n v="280"/>
  </r>
  <r>
    <x v="0"/>
    <x v="0"/>
    <n v="4"/>
    <n v="0.5"/>
    <n v="2"/>
    <n v="200"/>
  </r>
  <r>
    <x v="1"/>
    <x v="1"/>
    <n v="3"/>
    <n v="0.66666666666666663"/>
    <n v="2"/>
    <n v="320"/>
  </r>
  <r>
    <x v="0"/>
    <x v="0"/>
    <n v="4"/>
    <n v="0.5"/>
    <n v="2"/>
    <n v="200"/>
  </r>
  <r>
    <x v="12"/>
    <x v="2"/>
    <n v="3"/>
    <n v="0.66666666666666663"/>
    <n v="2"/>
    <n v="240"/>
  </r>
  <r>
    <x v="11"/>
    <x v="3"/>
    <n v="2"/>
    <n v="0.5"/>
    <n v="1"/>
    <n v="300"/>
  </r>
  <r>
    <x v="1"/>
    <x v="1"/>
    <n v="3"/>
    <n v="0.66666666666666663"/>
    <n v="2"/>
    <n v="320"/>
  </r>
  <r>
    <x v="9"/>
    <x v="3"/>
    <n v="2"/>
    <n v="0.5"/>
    <n v="1"/>
    <n v="280"/>
  </r>
  <r>
    <x v="1"/>
    <x v="1"/>
    <n v="3"/>
    <n v="0.66666666666666663"/>
    <n v="2"/>
    <n v="320"/>
  </r>
  <r>
    <x v="7"/>
    <x v="0"/>
    <n v="2.5"/>
    <n v="0.8"/>
    <n v="2"/>
    <n v="120"/>
  </r>
  <r>
    <x v="4"/>
    <x v="0"/>
    <n v="3"/>
    <n v="0.83333333333333337"/>
    <n v="2.5"/>
    <n v="0"/>
  </r>
  <r>
    <x v="1"/>
    <x v="1"/>
    <n v="3"/>
    <n v="0.66666666666666663"/>
    <n v="2"/>
    <n v="320"/>
  </r>
  <r>
    <x v="12"/>
    <x v="2"/>
    <n v="3"/>
    <n v="0.66666666666666663"/>
    <n v="2"/>
    <n v="240"/>
  </r>
  <r>
    <x v="11"/>
    <x v="3"/>
    <n v="2"/>
    <n v="0.5"/>
    <n v="1"/>
    <n v="300"/>
  </r>
  <r>
    <x v="4"/>
    <x v="0"/>
    <n v="3"/>
    <n v="0.83333333333333337"/>
    <n v="2.5"/>
    <n v="0"/>
  </r>
  <r>
    <x v="5"/>
    <x v="1"/>
    <n v="1.5"/>
    <n v="0.66666666666666663"/>
    <n v="1"/>
    <n v="265"/>
  </r>
  <r>
    <x v="7"/>
    <x v="0"/>
    <n v="2.5"/>
    <n v="0.8"/>
    <n v="2"/>
    <n v="120"/>
  </r>
  <r>
    <x v="3"/>
    <x v="1"/>
    <n v="2"/>
    <n v="0.25"/>
    <n v="0.5"/>
    <n v="480"/>
  </r>
  <r>
    <x v="2"/>
    <x v="1"/>
    <n v="5"/>
    <n v="0.8"/>
    <n v="4"/>
    <n v="500"/>
  </r>
  <r>
    <x v="2"/>
    <x v="1"/>
    <n v="5"/>
    <n v="0.8"/>
    <n v="4"/>
    <n v="500"/>
  </r>
  <r>
    <x v="12"/>
    <x v="2"/>
    <n v="3"/>
    <n v="0.66666666666666663"/>
    <n v="2"/>
    <n v="240"/>
  </r>
  <r>
    <x v="2"/>
    <x v="1"/>
    <n v="5"/>
    <n v="0.8"/>
    <n v="4"/>
    <n v="500"/>
  </r>
  <r>
    <x v="4"/>
    <x v="0"/>
    <n v="3"/>
    <n v="0.83333333333333337"/>
    <n v="2.5"/>
    <n v="0"/>
  </r>
  <r>
    <x v="9"/>
    <x v="3"/>
    <n v="2"/>
    <n v="0.5"/>
    <n v="1"/>
    <n v="280"/>
  </r>
  <r>
    <x v="4"/>
    <x v="0"/>
    <n v="3"/>
    <n v="0.83333333333333337"/>
    <n v="2.5"/>
    <n v="0"/>
  </r>
  <r>
    <x v="12"/>
    <x v="2"/>
    <n v="3"/>
    <n v="0.66666666666666663"/>
    <n v="2"/>
    <n v="240"/>
  </r>
  <r>
    <x v="3"/>
    <x v="1"/>
    <n v="2"/>
    <n v="0.25"/>
    <n v="0.5"/>
    <n v="480"/>
  </r>
  <r>
    <x v="3"/>
    <x v="1"/>
    <n v="2"/>
    <n v="0.25"/>
    <n v="0.5"/>
    <n v="480"/>
  </r>
  <r>
    <x v="12"/>
    <x v="2"/>
    <n v="3"/>
    <n v="0.66666666666666663"/>
    <n v="2"/>
    <n v="240"/>
  </r>
  <r>
    <x v="3"/>
    <x v="1"/>
    <n v="2"/>
    <n v="0.25"/>
    <n v="0.5"/>
    <n v="480"/>
  </r>
  <r>
    <x v="11"/>
    <x v="3"/>
    <n v="2"/>
    <n v="0.5"/>
    <n v="1"/>
    <n v="300"/>
  </r>
  <r>
    <x v="8"/>
    <x v="3"/>
    <n v="2"/>
    <n v="0.75"/>
    <n v="1.5"/>
    <n v="255"/>
  </r>
  <r>
    <x v="0"/>
    <x v="0"/>
    <n v="4"/>
    <n v="0.5"/>
    <n v="2"/>
    <n v="200"/>
  </r>
  <r>
    <x v="12"/>
    <x v="2"/>
    <n v="3"/>
    <n v="0.66666666666666663"/>
    <n v="2"/>
    <n v="240"/>
  </r>
  <r>
    <x v="10"/>
    <x v="1"/>
    <n v="3"/>
    <n v="0.5"/>
    <n v="1.5"/>
    <n v="560"/>
  </r>
  <r>
    <x v="4"/>
    <x v="0"/>
    <n v="3"/>
    <n v="0.83333333333333337"/>
    <n v="2.5"/>
    <n v="0"/>
  </r>
  <r>
    <x v="0"/>
    <x v="0"/>
    <n v="4"/>
    <n v="0.5"/>
    <n v="2"/>
    <n v="200"/>
  </r>
  <r>
    <x v="1"/>
    <x v="1"/>
    <n v="3"/>
    <n v="0.66666666666666663"/>
    <n v="2"/>
    <n v="320"/>
  </r>
  <r>
    <x v="8"/>
    <x v="3"/>
    <n v="2"/>
    <n v="0.75"/>
    <n v="1.5"/>
    <n v="255"/>
  </r>
  <r>
    <x v="2"/>
    <x v="1"/>
    <n v="5"/>
    <n v="0.8"/>
    <n v="4"/>
    <n v="500"/>
  </r>
  <r>
    <x v="1"/>
    <x v="1"/>
    <n v="3"/>
    <n v="0.66666666666666663"/>
    <n v="2"/>
    <n v="320"/>
  </r>
  <r>
    <x v="7"/>
    <x v="0"/>
    <n v="2.5"/>
    <n v="0.8"/>
    <n v="2"/>
    <n v="120"/>
  </r>
  <r>
    <x v="3"/>
    <x v="1"/>
    <n v="2"/>
    <n v="0.25"/>
    <n v="0.5"/>
    <n v="480"/>
  </r>
  <r>
    <x v="5"/>
    <x v="1"/>
    <n v="1.5"/>
    <n v="0.66666666666666663"/>
    <n v="1"/>
    <n v="265"/>
  </r>
  <r>
    <x v="5"/>
    <x v="1"/>
    <n v="1.5"/>
    <n v="0.66666666666666663"/>
    <n v="1"/>
    <n v="265"/>
  </r>
  <r>
    <x v="10"/>
    <x v="1"/>
    <n v="3"/>
    <n v="0.5"/>
    <n v="1.5"/>
    <n v="560"/>
  </r>
  <r>
    <x v="1"/>
    <x v="1"/>
    <n v="3"/>
    <n v="0.66666666666666663"/>
    <n v="2"/>
    <n v="320"/>
  </r>
  <r>
    <x v="10"/>
    <x v="1"/>
    <n v="3"/>
    <n v="0.5"/>
    <n v="1.5"/>
    <n v="560"/>
  </r>
  <r>
    <x v="1"/>
    <x v="1"/>
    <n v="3"/>
    <n v="0.66666666666666663"/>
    <n v="2"/>
    <n v="320"/>
  </r>
  <r>
    <x v="5"/>
    <x v="1"/>
    <n v="1.5"/>
    <n v="0.66666666666666663"/>
    <n v="1"/>
    <n v="265"/>
  </r>
  <r>
    <x v="10"/>
    <x v="1"/>
    <n v="3"/>
    <n v="0.5"/>
    <n v="1.5"/>
    <n v="560"/>
  </r>
  <r>
    <x v="13"/>
    <x v="2"/>
    <n v="3"/>
    <n v="0.83333333333333337"/>
    <n v="2.5"/>
    <n v="150"/>
  </r>
  <r>
    <x v="2"/>
    <x v="1"/>
    <n v="5"/>
    <n v="0.8"/>
    <n v="4"/>
    <n v="500"/>
  </r>
  <r>
    <x v="2"/>
    <x v="1"/>
    <n v="5"/>
    <n v="0.8"/>
    <n v="4"/>
    <n v="500"/>
  </r>
  <r>
    <x v="4"/>
    <x v="0"/>
    <n v="3"/>
    <n v="0.83333333333333337"/>
    <n v="2.5"/>
    <n v="0"/>
  </r>
  <r>
    <x v="1"/>
    <x v="1"/>
    <n v="3"/>
    <n v="0.66666666666666663"/>
    <n v="2"/>
    <n v="320"/>
  </r>
  <r>
    <x v="3"/>
    <x v="1"/>
    <n v="2"/>
    <n v="0.25"/>
    <n v="0.5"/>
    <n v="480"/>
  </r>
  <r>
    <x v="13"/>
    <x v="2"/>
    <n v="3"/>
    <n v="0.83333333333333337"/>
    <n v="2.5"/>
    <n v="150"/>
  </r>
  <r>
    <x v="3"/>
    <x v="1"/>
    <n v="2"/>
    <n v="0.25"/>
    <n v="0.5"/>
    <n v="480"/>
  </r>
  <r>
    <x v="2"/>
    <x v="1"/>
    <n v="5"/>
    <n v="0.8"/>
    <n v="4"/>
    <n v="500"/>
  </r>
  <r>
    <x v="7"/>
    <x v="0"/>
    <n v="2.5"/>
    <n v="0.8"/>
    <n v="2"/>
    <n v="120"/>
  </r>
  <r>
    <x v="10"/>
    <x v="1"/>
    <n v="3"/>
    <n v="0.5"/>
    <n v="1.5"/>
    <n v="560"/>
  </r>
  <r>
    <x v="11"/>
    <x v="3"/>
    <n v="2"/>
    <n v="0.5"/>
    <n v="1"/>
    <n v="300"/>
  </r>
  <r>
    <x v="10"/>
    <x v="1"/>
    <n v="3"/>
    <n v="0.5"/>
    <n v="1.5"/>
    <n v="560"/>
  </r>
  <r>
    <x v="9"/>
    <x v="3"/>
    <n v="2"/>
    <n v="0.5"/>
    <n v="1"/>
    <n v="280"/>
  </r>
  <r>
    <x v="13"/>
    <x v="2"/>
    <n v="3"/>
    <n v="0.83333333333333337"/>
    <n v="2.5"/>
    <n v="150"/>
  </r>
  <r>
    <x v="2"/>
    <x v="1"/>
    <n v="5"/>
    <n v="0.8"/>
    <n v="4"/>
    <n v="500"/>
  </r>
  <r>
    <x v="13"/>
    <x v="2"/>
    <n v="3"/>
    <n v="0.83333333333333337"/>
    <n v="2.5"/>
    <n v="150"/>
  </r>
  <r>
    <x v="7"/>
    <x v="0"/>
    <n v="2.5"/>
    <n v="0.8"/>
    <n v="2"/>
    <n v="120"/>
  </r>
  <r>
    <x v="8"/>
    <x v="3"/>
    <n v="2"/>
    <n v="0.75"/>
    <n v="1.5"/>
    <n v="255"/>
  </r>
  <r>
    <x v="13"/>
    <x v="2"/>
    <n v="3"/>
    <n v="0.83333333333333337"/>
    <n v="2.5"/>
    <n v="150"/>
  </r>
  <r>
    <x v="11"/>
    <x v="3"/>
    <n v="2"/>
    <n v="0.5"/>
    <n v="1"/>
    <n v="300"/>
  </r>
  <r>
    <x v="8"/>
    <x v="3"/>
    <n v="2"/>
    <n v="0.75"/>
    <n v="1.5"/>
    <n v="255"/>
  </r>
  <r>
    <x v="10"/>
    <x v="1"/>
    <n v="3"/>
    <n v="0.5"/>
    <n v="1.5"/>
    <n v="560"/>
  </r>
  <r>
    <x v="9"/>
    <x v="3"/>
    <n v="2"/>
    <n v="0.5"/>
    <n v="1"/>
    <n v="280"/>
  </r>
  <r>
    <x v="0"/>
    <x v="0"/>
    <n v="4"/>
    <n v="0.5"/>
    <n v="2"/>
    <n v="200"/>
  </r>
  <r>
    <x v="13"/>
    <x v="2"/>
    <n v="3"/>
    <n v="0.83333333333333337"/>
    <n v="2.5"/>
    <n v="150"/>
  </r>
  <r>
    <x v="13"/>
    <x v="2"/>
    <n v="3"/>
    <n v="0.83333333333333337"/>
    <n v="2.5"/>
    <n v="150"/>
  </r>
  <r>
    <x v="13"/>
    <x v="2"/>
    <n v="3"/>
    <n v="0.83333333333333337"/>
    <n v="2.5"/>
    <n v="150"/>
  </r>
  <r>
    <x v="0"/>
    <x v="0"/>
    <n v="4"/>
    <n v="0.5"/>
    <n v="2"/>
    <n v="200"/>
  </r>
  <r>
    <x v="13"/>
    <x v="2"/>
    <n v="3"/>
    <n v="0.83333333333333337"/>
    <n v="2.5"/>
    <n v="150"/>
  </r>
  <r>
    <x v="11"/>
    <x v="3"/>
    <n v="2"/>
    <n v="0.5"/>
    <n v="1"/>
    <n v="300"/>
  </r>
  <r>
    <x v="3"/>
    <x v="1"/>
    <n v="2"/>
    <n v="0.25"/>
    <n v="0.5"/>
    <n v="480"/>
  </r>
  <r>
    <x v="0"/>
    <x v="0"/>
    <n v="4"/>
    <n v="0.5"/>
    <n v="2"/>
    <n v="200"/>
  </r>
  <r>
    <x v="2"/>
    <x v="1"/>
    <n v="5"/>
    <n v="0.8"/>
    <n v="4"/>
    <n v="500"/>
  </r>
  <r>
    <x v="13"/>
    <x v="2"/>
    <n v="3"/>
    <n v="0.83333333333333337"/>
    <n v="2.5"/>
    <n v="150"/>
  </r>
  <r>
    <x v="5"/>
    <x v="1"/>
    <n v="1.5"/>
    <n v="0.66666666666666663"/>
    <n v="1"/>
    <n v="265"/>
  </r>
  <r>
    <x v="7"/>
    <x v="0"/>
    <n v="2.5"/>
    <n v="0.8"/>
    <n v="2"/>
    <n v="120"/>
  </r>
  <r>
    <x v="9"/>
    <x v="3"/>
    <n v="2"/>
    <n v="0.5"/>
    <n v="1"/>
    <n v="280"/>
  </r>
  <r>
    <x v="4"/>
    <x v="0"/>
    <n v="3"/>
    <n v="0.83333333333333337"/>
    <n v="2.5"/>
    <n v="0"/>
  </r>
  <r>
    <x v="3"/>
    <x v="1"/>
    <n v="2"/>
    <n v="0.25"/>
    <n v="0.5"/>
    <n v="480"/>
  </r>
  <r>
    <x v="13"/>
    <x v="2"/>
    <n v="3"/>
    <n v="0.83333333333333337"/>
    <n v="2.5"/>
    <n v="150"/>
  </r>
  <r>
    <x v="11"/>
    <x v="3"/>
    <n v="2"/>
    <n v="0.5"/>
    <n v="1"/>
    <n v="300"/>
  </r>
  <r>
    <x v="3"/>
    <x v="1"/>
    <n v="2"/>
    <n v="0.25"/>
    <n v="0.5"/>
    <n v="480"/>
  </r>
  <r>
    <x v="4"/>
    <x v="0"/>
    <n v="3"/>
    <n v="0.83333333333333337"/>
    <n v="2.5"/>
    <n v="0"/>
  </r>
  <r>
    <x v="2"/>
    <x v="1"/>
    <n v="5"/>
    <n v="0.8"/>
    <n v="4"/>
    <n v="500"/>
  </r>
  <r>
    <x v="0"/>
    <x v="0"/>
    <n v="4"/>
    <n v="0.5"/>
    <n v="2"/>
    <n v="200"/>
  </r>
  <r>
    <x v="3"/>
    <x v="1"/>
    <n v="2"/>
    <n v="0.25"/>
    <n v="0.5"/>
    <n v="480"/>
  </r>
  <r>
    <x v="13"/>
    <x v="2"/>
    <n v="3"/>
    <n v="0.83333333333333337"/>
    <n v="2.5"/>
    <n v="150"/>
  </r>
  <r>
    <x v="8"/>
    <x v="3"/>
    <n v="2"/>
    <n v="0.75"/>
    <n v="1.5"/>
    <n v="255"/>
  </r>
  <r>
    <x v="4"/>
    <x v="0"/>
    <n v="3"/>
    <n v="0.83333333333333337"/>
    <n v="2.5"/>
    <n v="0"/>
  </r>
  <r>
    <x v="13"/>
    <x v="2"/>
    <n v="3"/>
    <n v="0.83333333333333337"/>
    <n v="2.5"/>
    <n v="1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gridDropZones="1" multipleFieldFilters="0">
  <location ref="A3:B19" firstHeaderRow="2" firstDataRow="2" firstDataCol="1"/>
  <pivotFields count="6">
    <pivotField axis="axisRow" showAll="0">
      <items count="15">
        <item x="0"/>
        <item x="4"/>
        <item x="8"/>
        <item x="6"/>
        <item x="11"/>
        <item x="1"/>
        <item x="5"/>
        <item x="12"/>
        <item x="9"/>
        <item x="10"/>
        <item x="3"/>
        <item x="2"/>
        <item x="13"/>
        <item x="7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dataField="1" numFmtId="44" showAll="0"/>
    <pivotField numFmtId="9" showAll="0"/>
    <pivotField numFmtId="44"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Price" fld="2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pane ySplit="1" topLeftCell="A147" activePane="bottomLeft" state="frozen"/>
      <selection pane="bottomLeft" activeCell="I195" sqref="I195"/>
    </sheetView>
  </sheetViews>
  <sheetFormatPr defaultColWidth="11" defaultRowHeight="15.75" x14ac:dyDescent="0.25"/>
  <cols>
    <col min="2" max="2" width="20.375" bestFit="1" customWidth="1"/>
    <col min="6" max="6" width="11.375" bestFit="1" customWidth="1"/>
    <col min="7" max="7" width="10.875" customWidth="1"/>
  </cols>
  <sheetData>
    <row r="1" spans="1:7" x14ac:dyDescent="0.25">
      <c r="A1" t="s">
        <v>37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22</v>
      </c>
      <c r="G1" s="3" t="s">
        <v>25</v>
      </c>
    </row>
    <row r="2" spans="1:7" x14ac:dyDescent="0.25">
      <c r="A2" s="11">
        <v>43466</v>
      </c>
      <c r="B2" t="s">
        <v>10</v>
      </c>
      <c r="C2" t="s">
        <v>16</v>
      </c>
      <c r="D2" s="2">
        <v>4</v>
      </c>
      <c r="E2" s="1">
        <v>0.5</v>
      </c>
      <c r="F2" s="4">
        <v>2</v>
      </c>
      <c r="G2">
        <f>VLOOKUP(B2,Calories!$A$1:$B$15,2,FALSE)</f>
        <v>200</v>
      </c>
    </row>
    <row r="3" spans="1:7" x14ac:dyDescent="0.25">
      <c r="A3" s="11">
        <v>43466</v>
      </c>
      <c r="B3" t="s">
        <v>8</v>
      </c>
      <c r="C3" t="s">
        <v>5</v>
      </c>
      <c r="D3" s="2">
        <v>3</v>
      </c>
      <c r="E3" s="1">
        <v>0.66666666666666663</v>
      </c>
      <c r="F3" s="4">
        <v>2</v>
      </c>
      <c r="G3">
        <f>VLOOKUP(B3,Calories!$A$1:$B$15,2,FALSE)</f>
        <v>320</v>
      </c>
    </row>
    <row r="4" spans="1:7" x14ac:dyDescent="0.25">
      <c r="A4" s="11">
        <v>43466</v>
      </c>
      <c r="B4" t="s">
        <v>9</v>
      </c>
      <c r="C4" t="s">
        <v>5</v>
      </c>
      <c r="D4" s="2">
        <v>5</v>
      </c>
      <c r="E4" s="1">
        <v>0.8</v>
      </c>
      <c r="F4" s="4">
        <v>4</v>
      </c>
      <c r="G4">
        <f>VLOOKUP(B4,Calories!$A$1:$B$15,2,FALSE)</f>
        <v>500</v>
      </c>
    </row>
    <row r="5" spans="1:7" x14ac:dyDescent="0.25">
      <c r="A5" s="11">
        <v>43466</v>
      </c>
      <c r="B5" t="s">
        <v>7</v>
      </c>
      <c r="C5" t="s">
        <v>5</v>
      </c>
      <c r="D5" s="2">
        <v>2</v>
      </c>
      <c r="E5" s="1">
        <v>0.25</v>
      </c>
      <c r="F5" s="4">
        <v>0.5</v>
      </c>
      <c r="G5">
        <f>VLOOKUP(B5,Calories!$A$1:$B$15,2,FALSE)</f>
        <v>480</v>
      </c>
    </row>
    <row r="6" spans="1:7" x14ac:dyDescent="0.25">
      <c r="A6" s="11">
        <v>43466</v>
      </c>
      <c r="B6" t="s">
        <v>12</v>
      </c>
      <c r="C6" t="s">
        <v>16</v>
      </c>
      <c r="D6" s="2">
        <v>3</v>
      </c>
      <c r="E6" s="1">
        <v>0.83333333333333337</v>
      </c>
      <c r="F6" s="4">
        <v>2.5</v>
      </c>
      <c r="G6">
        <f>VLOOKUP(B6,Calories!$A$1:$B$15,2,FALSE)</f>
        <v>0</v>
      </c>
    </row>
    <row r="7" spans="1:7" x14ac:dyDescent="0.25">
      <c r="A7" s="11">
        <v>43466</v>
      </c>
      <c r="B7" t="s">
        <v>4</v>
      </c>
      <c r="C7" t="s">
        <v>5</v>
      </c>
      <c r="D7" s="2">
        <v>1.5</v>
      </c>
      <c r="E7" s="1">
        <v>0.66666666666666663</v>
      </c>
      <c r="F7" s="4">
        <v>1</v>
      </c>
      <c r="G7">
        <f>VLOOKUP(B7,Calories!$A$1:$B$15,2,FALSE)</f>
        <v>265</v>
      </c>
    </row>
    <row r="8" spans="1:7" x14ac:dyDescent="0.25">
      <c r="A8" s="11">
        <v>43466</v>
      </c>
      <c r="B8" t="s">
        <v>19</v>
      </c>
      <c r="C8" t="s">
        <v>21</v>
      </c>
      <c r="D8" s="2">
        <v>3</v>
      </c>
      <c r="E8" s="1">
        <v>0.5</v>
      </c>
      <c r="F8" s="4">
        <v>1.5</v>
      </c>
      <c r="G8">
        <f>VLOOKUP(B8,Calories!$A$1:$B$15,2,FALSE)</f>
        <v>300</v>
      </c>
    </row>
    <row r="9" spans="1:7" x14ac:dyDescent="0.25">
      <c r="A9" s="11">
        <v>43467</v>
      </c>
      <c r="B9" t="s">
        <v>11</v>
      </c>
      <c r="C9" t="s">
        <v>16</v>
      </c>
      <c r="D9" s="2">
        <v>2.5</v>
      </c>
      <c r="E9" s="1">
        <v>0.8</v>
      </c>
      <c r="F9" s="4">
        <v>2</v>
      </c>
      <c r="G9">
        <f>VLOOKUP(B9,Calories!$A$1:$B$15,2,FALSE)</f>
        <v>120</v>
      </c>
    </row>
    <row r="10" spans="1:7" x14ac:dyDescent="0.25">
      <c r="A10" s="11">
        <v>43467</v>
      </c>
      <c r="B10" t="s">
        <v>14</v>
      </c>
      <c r="C10" t="s">
        <v>17</v>
      </c>
      <c r="D10" s="2">
        <v>2</v>
      </c>
      <c r="E10" s="1">
        <v>0.75</v>
      </c>
      <c r="F10" s="4">
        <v>1.5</v>
      </c>
      <c r="G10">
        <f>VLOOKUP(B10,Calories!$A$1:$B$15,2,FALSE)</f>
        <v>255</v>
      </c>
    </row>
    <row r="11" spans="1:7" x14ac:dyDescent="0.25">
      <c r="A11" s="11">
        <v>43467</v>
      </c>
      <c r="B11" t="s">
        <v>8</v>
      </c>
      <c r="C11" t="s">
        <v>5</v>
      </c>
      <c r="D11" s="2">
        <v>3</v>
      </c>
      <c r="E11" s="1">
        <v>0.66666666666666663</v>
      </c>
      <c r="F11" s="4">
        <v>2</v>
      </c>
      <c r="G11">
        <f>VLOOKUP(B11,Calories!$A$1:$B$15,2,FALSE)</f>
        <v>320</v>
      </c>
    </row>
    <row r="12" spans="1:7" x14ac:dyDescent="0.25">
      <c r="A12" s="11">
        <v>43467</v>
      </c>
      <c r="B12" t="s">
        <v>10</v>
      </c>
      <c r="C12" t="s">
        <v>16</v>
      </c>
      <c r="D12" s="2">
        <v>4</v>
      </c>
      <c r="E12" s="1">
        <v>0.5</v>
      </c>
      <c r="F12" s="4">
        <v>2</v>
      </c>
      <c r="G12">
        <f>VLOOKUP(B12,Calories!$A$1:$B$15,2,FALSE)</f>
        <v>200</v>
      </c>
    </row>
    <row r="13" spans="1:7" x14ac:dyDescent="0.25">
      <c r="A13" s="11">
        <v>43467</v>
      </c>
      <c r="B13" t="s">
        <v>4</v>
      </c>
      <c r="C13" t="s">
        <v>5</v>
      </c>
      <c r="D13" s="2">
        <v>1.5</v>
      </c>
      <c r="E13" s="1">
        <v>0.66666666666666663</v>
      </c>
      <c r="F13" s="4">
        <v>1</v>
      </c>
      <c r="G13">
        <f>VLOOKUP(B13,Calories!$A$1:$B$15,2,FALSE)</f>
        <v>265</v>
      </c>
    </row>
    <row r="14" spans="1:7" x14ac:dyDescent="0.25">
      <c r="A14" s="11">
        <v>43467</v>
      </c>
      <c r="B14" t="s">
        <v>13</v>
      </c>
      <c r="C14" t="s">
        <v>17</v>
      </c>
      <c r="D14" s="2">
        <v>2</v>
      </c>
      <c r="E14" s="1">
        <v>0.5</v>
      </c>
      <c r="F14" s="4">
        <v>1</v>
      </c>
      <c r="G14">
        <f>VLOOKUP(B14,Calories!$A$1:$B$15,2,FALSE)</f>
        <v>280</v>
      </c>
    </row>
    <row r="15" spans="1:7" x14ac:dyDescent="0.25">
      <c r="A15" s="11">
        <v>43467</v>
      </c>
      <c r="B15" t="s">
        <v>19</v>
      </c>
      <c r="C15" t="s">
        <v>21</v>
      </c>
      <c r="D15" s="2">
        <v>3</v>
      </c>
      <c r="E15" s="1">
        <v>0.5</v>
      </c>
      <c r="F15" s="4">
        <v>1.5</v>
      </c>
      <c r="G15">
        <f>VLOOKUP(B15,Calories!$A$1:$B$15,2,FALSE)</f>
        <v>300</v>
      </c>
    </row>
    <row r="16" spans="1:7" x14ac:dyDescent="0.25">
      <c r="A16" s="11">
        <v>43468</v>
      </c>
      <c r="B16" t="s">
        <v>6</v>
      </c>
      <c r="C16" t="s">
        <v>5</v>
      </c>
      <c r="D16" s="2">
        <v>3</v>
      </c>
      <c r="E16" s="1">
        <v>0.5</v>
      </c>
      <c r="F16" s="4">
        <v>1.5</v>
      </c>
      <c r="G16">
        <f>VLOOKUP(B16,Calories!$A$1:$B$15,2,FALSE)</f>
        <v>560</v>
      </c>
    </row>
    <row r="17" spans="1:7" x14ac:dyDescent="0.25">
      <c r="A17" s="11">
        <v>43468</v>
      </c>
      <c r="B17" t="s">
        <v>7</v>
      </c>
      <c r="C17" t="s">
        <v>5</v>
      </c>
      <c r="D17" s="2">
        <v>2</v>
      </c>
      <c r="E17" s="1">
        <v>0.25</v>
      </c>
      <c r="F17" s="4">
        <v>0.5</v>
      </c>
      <c r="G17">
        <f>VLOOKUP(B17,Calories!$A$1:$B$15,2,FALSE)</f>
        <v>480</v>
      </c>
    </row>
    <row r="18" spans="1:7" x14ac:dyDescent="0.25">
      <c r="A18" s="11">
        <v>43468</v>
      </c>
      <c r="B18" t="s">
        <v>10</v>
      </c>
      <c r="C18" t="s">
        <v>16</v>
      </c>
      <c r="D18" s="2">
        <v>4</v>
      </c>
      <c r="E18" s="1">
        <v>0.5</v>
      </c>
      <c r="F18" s="4">
        <v>2</v>
      </c>
      <c r="G18">
        <f>VLOOKUP(B18,Calories!$A$1:$B$15,2,FALSE)</f>
        <v>200</v>
      </c>
    </row>
    <row r="19" spans="1:7" x14ac:dyDescent="0.25">
      <c r="A19" s="11">
        <v>43468</v>
      </c>
      <c r="B19" t="s">
        <v>11</v>
      </c>
      <c r="C19" t="s">
        <v>16</v>
      </c>
      <c r="D19" s="2">
        <v>2.5</v>
      </c>
      <c r="E19" s="1">
        <v>0.8</v>
      </c>
      <c r="F19" s="4">
        <v>2</v>
      </c>
      <c r="G19">
        <f>VLOOKUP(B19,Calories!$A$1:$B$15,2,FALSE)</f>
        <v>120</v>
      </c>
    </row>
    <row r="20" spans="1:7" x14ac:dyDescent="0.25">
      <c r="A20" s="11">
        <v>43468</v>
      </c>
      <c r="B20" t="s">
        <v>10</v>
      </c>
      <c r="C20" t="s">
        <v>16</v>
      </c>
      <c r="D20" s="2">
        <v>4</v>
      </c>
      <c r="E20" s="1">
        <v>0.5</v>
      </c>
      <c r="F20" s="4">
        <v>2</v>
      </c>
      <c r="G20">
        <f>VLOOKUP(B20,Calories!$A$1:$B$15,2,FALSE)</f>
        <v>200</v>
      </c>
    </row>
    <row r="21" spans="1:7" x14ac:dyDescent="0.25">
      <c r="A21" s="11">
        <v>43468</v>
      </c>
      <c r="B21" t="s">
        <v>8</v>
      </c>
      <c r="C21" t="s">
        <v>5</v>
      </c>
      <c r="D21" s="2">
        <v>3</v>
      </c>
      <c r="E21" s="1">
        <v>0.66666666666666663</v>
      </c>
      <c r="F21" s="4">
        <v>2</v>
      </c>
      <c r="G21">
        <f>VLOOKUP(B21,Calories!$A$1:$B$15,2,FALSE)</f>
        <v>320</v>
      </c>
    </row>
    <row r="22" spans="1:7" x14ac:dyDescent="0.25">
      <c r="A22" s="11">
        <v>43468</v>
      </c>
      <c r="B22" t="s">
        <v>15</v>
      </c>
      <c r="C22" t="s">
        <v>17</v>
      </c>
      <c r="D22" s="2">
        <v>2</v>
      </c>
      <c r="E22" s="1">
        <v>0.5</v>
      </c>
      <c r="F22" s="4">
        <v>1</v>
      </c>
      <c r="G22">
        <f>VLOOKUP(B22,Calories!$A$1:$B$15,2,FALSE)</f>
        <v>300</v>
      </c>
    </row>
    <row r="23" spans="1:7" x14ac:dyDescent="0.25">
      <c r="A23" s="11">
        <v>43469</v>
      </c>
      <c r="B23" t="s">
        <v>9</v>
      </c>
      <c r="C23" t="s">
        <v>5</v>
      </c>
      <c r="D23" s="2">
        <v>5</v>
      </c>
      <c r="E23" s="1">
        <v>0.8</v>
      </c>
      <c r="F23" s="4">
        <v>4</v>
      </c>
      <c r="G23">
        <f>VLOOKUP(B23,Calories!$A$1:$B$15,2,FALSE)</f>
        <v>500</v>
      </c>
    </row>
    <row r="24" spans="1:7" x14ac:dyDescent="0.25">
      <c r="A24" s="11">
        <v>43469</v>
      </c>
      <c r="B24" t="s">
        <v>8</v>
      </c>
      <c r="C24" t="s">
        <v>5</v>
      </c>
      <c r="D24" s="2">
        <v>3</v>
      </c>
      <c r="E24" s="1">
        <v>0.66666666666666663</v>
      </c>
      <c r="F24" s="4">
        <v>2</v>
      </c>
      <c r="G24">
        <f>VLOOKUP(B24,Calories!$A$1:$B$15,2,FALSE)</f>
        <v>320</v>
      </c>
    </row>
    <row r="25" spans="1:7" x14ac:dyDescent="0.25">
      <c r="A25" s="11">
        <v>43469</v>
      </c>
      <c r="B25" t="s">
        <v>6</v>
      </c>
      <c r="C25" t="s">
        <v>5</v>
      </c>
      <c r="D25" s="2">
        <v>3</v>
      </c>
      <c r="E25" s="1">
        <v>0.5</v>
      </c>
      <c r="F25" s="4">
        <v>1.5</v>
      </c>
      <c r="G25">
        <f>VLOOKUP(B25,Calories!$A$1:$B$15,2,FALSE)</f>
        <v>560</v>
      </c>
    </row>
    <row r="26" spans="1:7" x14ac:dyDescent="0.25">
      <c r="A26" s="11">
        <v>43469</v>
      </c>
      <c r="B26" t="s">
        <v>6</v>
      </c>
      <c r="C26" t="s">
        <v>5</v>
      </c>
      <c r="D26" s="2">
        <v>3</v>
      </c>
      <c r="E26" s="1">
        <v>0.5</v>
      </c>
      <c r="F26" s="4">
        <v>1.5</v>
      </c>
      <c r="G26">
        <f>VLOOKUP(B26,Calories!$A$1:$B$15,2,FALSE)</f>
        <v>560</v>
      </c>
    </row>
    <row r="27" spans="1:7" x14ac:dyDescent="0.25">
      <c r="A27" s="11">
        <v>43469</v>
      </c>
      <c r="B27" t="s">
        <v>19</v>
      </c>
      <c r="C27" t="s">
        <v>21</v>
      </c>
      <c r="D27" s="2">
        <v>3</v>
      </c>
      <c r="E27" s="1">
        <v>0.5</v>
      </c>
      <c r="F27" s="4">
        <v>1.5</v>
      </c>
      <c r="G27">
        <f>VLOOKUP(B27,Calories!$A$1:$B$15,2,FALSE)</f>
        <v>300</v>
      </c>
    </row>
    <row r="28" spans="1:7" x14ac:dyDescent="0.25">
      <c r="A28" s="11">
        <v>43469</v>
      </c>
      <c r="B28" t="s">
        <v>14</v>
      </c>
      <c r="C28" t="s">
        <v>17</v>
      </c>
      <c r="D28" s="2">
        <v>2</v>
      </c>
      <c r="E28" s="1">
        <v>0.75</v>
      </c>
      <c r="F28" s="4">
        <v>1.5</v>
      </c>
      <c r="G28">
        <f>VLOOKUP(B28,Calories!$A$1:$B$15,2,FALSE)</f>
        <v>255</v>
      </c>
    </row>
    <row r="29" spans="1:7" x14ac:dyDescent="0.25">
      <c r="A29" s="11">
        <v>43469</v>
      </c>
      <c r="B29" t="s">
        <v>8</v>
      </c>
      <c r="C29" t="s">
        <v>5</v>
      </c>
      <c r="D29" s="2">
        <v>3</v>
      </c>
      <c r="E29" s="1">
        <v>0.66666666666666663</v>
      </c>
      <c r="F29" s="4">
        <v>2</v>
      </c>
      <c r="G29">
        <f>VLOOKUP(B29,Calories!$A$1:$B$15,2,FALSE)</f>
        <v>320</v>
      </c>
    </row>
    <row r="30" spans="1:7" x14ac:dyDescent="0.25">
      <c r="A30" s="11">
        <v>43469</v>
      </c>
      <c r="B30" t="s">
        <v>10</v>
      </c>
      <c r="C30" t="s">
        <v>16</v>
      </c>
      <c r="D30" s="2">
        <v>4</v>
      </c>
      <c r="E30" s="1">
        <v>0.5</v>
      </c>
      <c r="F30" s="4">
        <v>2</v>
      </c>
      <c r="G30">
        <f>VLOOKUP(B30,Calories!$A$1:$B$15,2,FALSE)</f>
        <v>200</v>
      </c>
    </row>
    <row r="31" spans="1:7" x14ac:dyDescent="0.25">
      <c r="A31" s="11">
        <v>43469</v>
      </c>
      <c r="B31" t="s">
        <v>19</v>
      </c>
      <c r="C31" t="s">
        <v>21</v>
      </c>
      <c r="D31" s="2">
        <v>3</v>
      </c>
      <c r="E31" s="1">
        <v>0.5</v>
      </c>
      <c r="F31" s="4">
        <v>1.5</v>
      </c>
      <c r="G31">
        <f>VLOOKUP(B31,Calories!$A$1:$B$15,2,FALSE)</f>
        <v>300</v>
      </c>
    </row>
    <row r="32" spans="1:7" x14ac:dyDescent="0.25">
      <c r="A32" s="11">
        <v>43466</v>
      </c>
      <c r="B32" t="s">
        <v>11</v>
      </c>
      <c r="C32" t="s">
        <v>16</v>
      </c>
      <c r="D32" s="2">
        <v>2.5</v>
      </c>
      <c r="E32" s="1">
        <v>0.8</v>
      </c>
      <c r="F32" s="4">
        <v>2</v>
      </c>
      <c r="G32">
        <f>VLOOKUP(B32,Calories!$A$1:$B$15,2,FALSE)</f>
        <v>120</v>
      </c>
    </row>
    <row r="33" spans="1:7" x14ac:dyDescent="0.25">
      <c r="A33" s="11">
        <v>43497</v>
      </c>
      <c r="B33" t="s">
        <v>15</v>
      </c>
      <c r="C33" t="s">
        <v>17</v>
      </c>
      <c r="D33" s="2">
        <v>2</v>
      </c>
      <c r="E33" s="1">
        <v>0.5</v>
      </c>
      <c r="F33" s="4">
        <v>1</v>
      </c>
      <c r="G33">
        <f>VLOOKUP(B33,Calories!$A$1:$B$15,2,FALSE)</f>
        <v>300</v>
      </c>
    </row>
    <row r="34" spans="1:7" x14ac:dyDescent="0.25">
      <c r="A34" s="11">
        <v>43470</v>
      </c>
      <c r="B34" t="s">
        <v>19</v>
      </c>
      <c r="C34" t="s">
        <v>21</v>
      </c>
      <c r="D34" s="2">
        <v>3</v>
      </c>
      <c r="E34" s="1">
        <v>0.5</v>
      </c>
      <c r="F34" s="4">
        <v>1.5</v>
      </c>
      <c r="G34">
        <f>VLOOKUP(B34,Calories!$A$1:$B$15,2,FALSE)</f>
        <v>300</v>
      </c>
    </row>
    <row r="35" spans="1:7" x14ac:dyDescent="0.25">
      <c r="A35" s="11">
        <v>43471</v>
      </c>
      <c r="B35" t="s">
        <v>13</v>
      </c>
      <c r="C35" t="s">
        <v>17</v>
      </c>
      <c r="D35" s="2">
        <v>2</v>
      </c>
      <c r="E35" s="1">
        <v>0.5</v>
      </c>
      <c r="F35" s="4">
        <v>1</v>
      </c>
      <c r="G35">
        <f>VLOOKUP(B35,Calories!$A$1:$B$15,2,FALSE)</f>
        <v>280</v>
      </c>
    </row>
    <row r="36" spans="1:7" x14ac:dyDescent="0.25">
      <c r="A36" s="11">
        <v>43472</v>
      </c>
      <c r="B36" t="s">
        <v>6</v>
      </c>
      <c r="C36" t="s">
        <v>5</v>
      </c>
      <c r="D36" s="2">
        <v>3</v>
      </c>
      <c r="E36" s="1">
        <v>0.5</v>
      </c>
      <c r="F36" s="4">
        <v>1.5</v>
      </c>
      <c r="G36">
        <f>VLOOKUP(B36,Calories!$A$1:$B$15,2,FALSE)</f>
        <v>560</v>
      </c>
    </row>
    <row r="37" spans="1:7" x14ac:dyDescent="0.25">
      <c r="A37" s="11">
        <v>43473</v>
      </c>
      <c r="B37" t="s">
        <v>12</v>
      </c>
      <c r="C37" t="s">
        <v>16</v>
      </c>
      <c r="D37" s="2">
        <v>3</v>
      </c>
      <c r="E37" s="1">
        <v>0.83333333333333337</v>
      </c>
      <c r="F37" s="4">
        <v>2.5</v>
      </c>
      <c r="G37">
        <f>VLOOKUP(B37,Calories!$A$1:$B$15,2,FALSE)</f>
        <v>0</v>
      </c>
    </row>
    <row r="38" spans="1:7" x14ac:dyDescent="0.25">
      <c r="A38" s="11">
        <v>43474</v>
      </c>
      <c r="B38" t="s">
        <v>12</v>
      </c>
      <c r="C38" t="s">
        <v>16</v>
      </c>
      <c r="D38" s="2">
        <v>3</v>
      </c>
      <c r="E38" s="1">
        <v>0.83333333333333337</v>
      </c>
      <c r="F38" s="4">
        <v>2.5</v>
      </c>
      <c r="G38">
        <f>VLOOKUP(B38,Calories!$A$1:$B$15,2,FALSE)</f>
        <v>0</v>
      </c>
    </row>
    <row r="39" spans="1:7" x14ac:dyDescent="0.25">
      <c r="A39" s="11">
        <v>43475</v>
      </c>
      <c r="B39" t="s">
        <v>9</v>
      </c>
      <c r="C39" t="s">
        <v>5</v>
      </c>
      <c r="D39" s="2">
        <v>5</v>
      </c>
      <c r="E39" s="1">
        <v>0.8</v>
      </c>
      <c r="F39" s="4">
        <v>4</v>
      </c>
      <c r="G39">
        <f>VLOOKUP(B39,Calories!$A$1:$B$15,2,FALSE)</f>
        <v>500</v>
      </c>
    </row>
    <row r="40" spans="1:7" x14ac:dyDescent="0.25">
      <c r="A40" s="11">
        <v>43476</v>
      </c>
      <c r="B40" t="s">
        <v>14</v>
      </c>
      <c r="C40" t="s">
        <v>17</v>
      </c>
      <c r="D40" s="2">
        <v>2</v>
      </c>
      <c r="E40" s="1">
        <v>0.75</v>
      </c>
      <c r="F40" s="4">
        <v>1.5</v>
      </c>
      <c r="G40">
        <f>VLOOKUP(B40,Calories!$A$1:$B$15,2,FALSE)</f>
        <v>255</v>
      </c>
    </row>
    <row r="41" spans="1:7" x14ac:dyDescent="0.25">
      <c r="A41" s="11">
        <v>43477</v>
      </c>
      <c r="B41" t="s">
        <v>19</v>
      </c>
      <c r="C41" t="s">
        <v>21</v>
      </c>
      <c r="D41" s="2">
        <v>3</v>
      </c>
      <c r="E41" s="1">
        <v>0.5</v>
      </c>
      <c r="F41" s="4">
        <v>1.5</v>
      </c>
      <c r="G41">
        <f>VLOOKUP(B41,Calories!$A$1:$B$15,2,FALSE)</f>
        <v>300</v>
      </c>
    </row>
    <row r="42" spans="1:7" x14ac:dyDescent="0.25">
      <c r="A42" s="11">
        <v>43478</v>
      </c>
      <c r="B42" t="s">
        <v>13</v>
      </c>
      <c r="C42" t="s">
        <v>17</v>
      </c>
      <c r="D42" s="2">
        <v>2</v>
      </c>
      <c r="E42" s="1">
        <v>0.5</v>
      </c>
      <c r="F42" s="4">
        <v>1</v>
      </c>
      <c r="G42">
        <f>VLOOKUP(B42,Calories!$A$1:$B$15,2,FALSE)</f>
        <v>280</v>
      </c>
    </row>
    <row r="43" spans="1:7" x14ac:dyDescent="0.25">
      <c r="A43" s="11">
        <v>43479</v>
      </c>
      <c r="B43" t="s">
        <v>10</v>
      </c>
      <c r="C43" t="s">
        <v>16</v>
      </c>
      <c r="D43" s="2">
        <v>4</v>
      </c>
      <c r="E43" s="1">
        <v>0.5</v>
      </c>
      <c r="F43" s="4">
        <v>2</v>
      </c>
      <c r="G43">
        <f>VLOOKUP(B43,Calories!$A$1:$B$15,2,FALSE)</f>
        <v>200</v>
      </c>
    </row>
    <row r="44" spans="1:7" x14ac:dyDescent="0.25">
      <c r="A44" s="11">
        <v>43480</v>
      </c>
      <c r="B44" t="s">
        <v>4</v>
      </c>
      <c r="C44" t="s">
        <v>5</v>
      </c>
      <c r="D44" s="2">
        <v>1.5</v>
      </c>
      <c r="E44" s="1">
        <v>0.66666666666666663</v>
      </c>
      <c r="F44" s="4">
        <v>1</v>
      </c>
      <c r="G44">
        <f>VLOOKUP(B44,Calories!$A$1:$B$15,2,FALSE)</f>
        <v>265</v>
      </c>
    </row>
    <row r="45" spans="1:7" x14ac:dyDescent="0.25">
      <c r="A45" s="11">
        <v>43481</v>
      </c>
      <c r="B45" t="s">
        <v>14</v>
      </c>
      <c r="C45" t="s">
        <v>17</v>
      </c>
      <c r="D45" s="2">
        <v>2</v>
      </c>
      <c r="E45" s="1">
        <v>0.75</v>
      </c>
      <c r="F45" s="4">
        <v>1.5</v>
      </c>
      <c r="G45">
        <f>VLOOKUP(B45,Calories!$A$1:$B$15,2,FALSE)</f>
        <v>255</v>
      </c>
    </row>
    <row r="46" spans="1:7" x14ac:dyDescent="0.25">
      <c r="A46" s="11">
        <v>43482</v>
      </c>
      <c r="B46" t="s">
        <v>7</v>
      </c>
      <c r="C46" t="s">
        <v>5</v>
      </c>
      <c r="D46" s="2">
        <v>2</v>
      </c>
      <c r="E46" s="1">
        <v>0.25</v>
      </c>
      <c r="F46" s="4">
        <v>0.5</v>
      </c>
      <c r="G46">
        <f>VLOOKUP(B46,Calories!$A$1:$B$15,2,FALSE)</f>
        <v>480</v>
      </c>
    </row>
    <row r="47" spans="1:7" x14ac:dyDescent="0.25">
      <c r="A47" s="11">
        <v>43483</v>
      </c>
      <c r="B47" t="s">
        <v>8</v>
      </c>
      <c r="C47" t="s">
        <v>5</v>
      </c>
      <c r="D47" s="2">
        <v>3</v>
      </c>
      <c r="E47" s="1">
        <v>0.66666666666666663</v>
      </c>
      <c r="F47" s="4">
        <v>2</v>
      </c>
      <c r="G47">
        <f>VLOOKUP(B47,Calories!$A$1:$B$15,2,FALSE)</f>
        <v>320</v>
      </c>
    </row>
    <row r="48" spans="1:7" x14ac:dyDescent="0.25">
      <c r="A48" s="11">
        <v>43484</v>
      </c>
      <c r="B48" t="s">
        <v>19</v>
      </c>
      <c r="C48" t="s">
        <v>21</v>
      </c>
      <c r="D48" s="2">
        <v>3</v>
      </c>
      <c r="E48" s="1">
        <v>0.5</v>
      </c>
      <c r="F48" s="4">
        <v>1.5</v>
      </c>
      <c r="G48">
        <f>VLOOKUP(B48,Calories!$A$1:$B$15,2,FALSE)</f>
        <v>300</v>
      </c>
    </row>
    <row r="49" spans="1:7" x14ac:dyDescent="0.25">
      <c r="A49" s="11">
        <v>43485</v>
      </c>
      <c r="B49" t="s">
        <v>13</v>
      </c>
      <c r="C49" t="s">
        <v>17</v>
      </c>
      <c r="D49" s="2">
        <v>2</v>
      </c>
      <c r="E49" s="1">
        <v>0.5</v>
      </c>
      <c r="F49" s="4">
        <v>1</v>
      </c>
      <c r="G49">
        <f>VLOOKUP(B49,Calories!$A$1:$B$15,2,FALSE)</f>
        <v>280</v>
      </c>
    </row>
    <row r="50" spans="1:7" x14ac:dyDescent="0.25">
      <c r="A50" s="11">
        <v>43486</v>
      </c>
      <c r="B50" t="s">
        <v>6</v>
      </c>
      <c r="C50" t="s">
        <v>5</v>
      </c>
      <c r="D50" s="2">
        <v>3</v>
      </c>
      <c r="E50" s="1">
        <v>0.5</v>
      </c>
      <c r="F50" s="4">
        <v>1.5</v>
      </c>
      <c r="G50">
        <f>VLOOKUP(B50,Calories!$A$1:$B$15,2,FALSE)</f>
        <v>560</v>
      </c>
    </row>
    <row r="51" spans="1:7" x14ac:dyDescent="0.25">
      <c r="A51" s="11">
        <v>43487</v>
      </c>
      <c r="B51" t="s">
        <v>9</v>
      </c>
      <c r="C51" t="s">
        <v>5</v>
      </c>
      <c r="D51" s="2">
        <v>5</v>
      </c>
      <c r="E51" s="1">
        <v>0.8</v>
      </c>
      <c r="F51" s="4">
        <v>4</v>
      </c>
      <c r="G51">
        <f>VLOOKUP(B51,Calories!$A$1:$B$15,2,FALSE)</f>
        <v>500</v>
      </c>
    </row>
    <row r="52" spans="1:7" x14ac:dyDescent="0.25">
      <c r="A52" s="11">
        <v>43488</v>
      </c>
      <c r="B52" t="s">
        <v>14</v>
      </c>
      <c r="C52" t="s">
        <v>17</v>
      </c>
      <c r="D52" s="2">
        <v>2</v>
      </c>
      <c r="E52" s="1">
        <v>0.75</v>
      </c>
      <c r="F52" s="4">
        <v>1.5</v>
      </c>
      <c r="G52">
        <f>VLOOKUP(B52,Calories!$A$1:$B$15,2,FALSE)</f>
        <v>255</v>
      </c>
    </row>
    <row r="53" spans="1:7" x14ac:dyDescent="0.25">
      <c r="A53" s="11">
        <v>43489</v>
      </c>
      <c r="B53" t="s">
        <v>4</v>
      </c>
      <c r="C53" t="s">
        <v>5</v>
      </c>
      <c r="D53" s="2">
        <v>1.5</v>
      </c>
      <c r="E53" s="1">
        <v>0.66666666666666663</v>
      </c>
      <c r="F53" s="4">
        <v>1</v>
      </c>
      <c r="G53">
        <f>VLOOKUP(B53,Calories!$A$1:$B$15,2,FALSE)</f>
        <v>265</v>
      </c>
    </row>
    <row r="54" spans="1:7" x14ac:dyDescent="0.25">
      <c r="A54" s="11">
        <v>43490</v>
      </c>
      <c r="B54" t="s">
        <v>9</v>
      </c>
      <c r="C54" t="s">
        <v>5</v>
      </c>
      <c r="D54" s="2">
        <v>5</v>
      </c>
      <c r="E54" s="1">
        <v>0.8</v>
      </c>
      <c r="F54" s="4">
        <v>4</v>
      </c>
      <c r="G54">
        <f>VLOOKUP(B54,Calories!$A$1:$B$15,2,FALSE)</f>
        <v>500</v>
      </c>
    </row>
    <row r="55" spans="1:7" x14ac:dyDescent="0.25">
      <c r="A55" s="11">
        <v>43491</v>
      </c>
      <c r="B55" t="s">
        <v>10</v>
      </c>
      <c r="C55" t="s">
        <v>16</v>
      </c>
      <c r="D55" s="2">
        <v>4</v>
      </c>
      <c r="E55" s="1">
        <v>0.5</v>
      </c>
      <c r="F55" s="4">
        <v>2</v>
      </c>
      <c r="G55">
        <f>VLOOKUP(B55,Calories!$A$1:$B$15,2,FALSE)</f>
        <v>200</v>
      </c>
    </row>
    <row r="56" spans="1:7" x14ac:dyDescent="0.25">
      <c r="A56" s="11">
        <v>43492</v>
      </c>
      <c r="B56" t="s">
        <v>19</v>
      </c>
      <c r="C56" t="s">
        <v>21</v>
      </c>
      <c r="D56" s="2">
        <v>3</v>
      </c>
      <c r="E56" s="1">
        <v>0.5</v>
      </c>
      <c r="F56" s="4">
        <v>1.5</v>
      </c>
      <c r="G56">
        <f>VLOOKUP(B56,Calories!$A$1:$B$15,2,FALSE)</f>
        <v>300</v>
      </c>
    </row>
    <row r="57" spans="1:7" x14ac:dyDescent="0.25">
      <c r="A57" s="11">
        <v>43493</v>
      </c>
      <c r="B57" t="s">
        <v>15</v>
      </c>
      <c r="C57" t="s">
        <v>17</v>
      </c>
      <c r="D57" s="2">
        <v>2</v>
      </c>
      <c r="E57" s="1">
        <v>0.5</v>
      </c>
      <c r="F57" s="4">
        <v>1</v>
      </c>
      <c r="G57">
        <f>VLOOKUP(B57,Calories!$A$1:$B$15,2,FALSE)</f>
        <v>300</v>
      </c>
    </row>
    <row r="58" spans="1:7" x14ac:dyDescent="0.25">
      <c r="A58" s="11">
        <v>43494</v>
      </c>
      <c r="B58" t="s">
        <v>13</v>
      </c>
      <c r="C58" t="s">
        <v>17</v>
      </c>
      <c r="D58" s="2">
        <v>2</v>
      </c>
      <c r="E58" s="1">
        <v>0.5</v>
      </c>
      <c r="F58" s="4">
        <v>1</v>
      </c>
      <c r="G58">
        <f>VLOOKUP(B58,Calories!$A$1:$B$15,2,FALSE)</f>
        <v>280</v>
      </c>
    </row>
    <row r="59" spans="1:7" x14ac:dyDescent="0.25">
      <c r="A59" s="11">
        <v>43495</v>
      </c>
      <c r="B59" t="s">
        <v>10</v>
      </c>
      <c r="C59" t="s">
        <v>16</v>
      </c>
      <c r="D59" s="2">
        <v>4</v>
      </c>
      <c r="E59" s="1">
        <v>0.5</v>
      </c>
      <c r="F59" s="4">
        <v>2</v>
      </c>
      <c r="G59">
        <f>VLOOKUP(B59,Calories!$A$1:$B$15,2,FALSE)</f>
        <v>200</v>
      </c>
    </row>
    <row r="60" spans="1:7" x14ac:dyDescent="0.25">
      <c r="A60" s="11">
        <v>43496</v>
      </c>
      <c r="B60" t="s">
        <v>13</v>
      </c>
      <c r="C60" t="s">
        <v>17</v>
      </c>
      <c r="D60" s="2">
        <v>2</v>
      </c>
      <c r="E60" s="1">
        <v>0.5</v>
      </c>
      <c r="F60" s="4">
        <v>1</v>
      </c>
      <c r="G60">
        <f>VLOOKUP(B60,Calories!$A$1:$B$15,2,FALSE)</f>
        <v>280</v>
      </c>
    </row>
    <row r="61" spans="1:7" x14ac:dyDescent="0.25">
      <c r="A61" s="11">
        <v>43497</v>
      </c>
      <c r="B61" t="s">
        <v>10</v>
      </c>
      <c r="C61" t="s">
        <v>16</v>
      </c>
      <c r="D61" s="2">
        <v>4</v>
      </c>
      <c r="E61" s="1">
        <v>0.5</v>
      </c>
      <c r="F61" s="4">
        <v>2</v>
      </c>
      <c r="G61">
        <f>VLOOKUP(B61,Calories!$A$1:$B$15,2,FALSE)</f>
        <v>200</v>
      </c>
    </row>
    <row r="62" spans="1:7" x14ac:dyDescent="0.25">
      <c r="A62" s="11">
        <v>43498</v>
      </c>
      <c r="B62" t="s">
        <v>11</v>
      </c>
      <c r="C62" t="s">
        <v>16</v>
      </c>
      <c r="D62" s="2">
        <v>2.5</v>
      </c>
      <c r="E62" s="1">
        <v>0.8</v>
      </c>
      <c r="F62" s="4">
        <v>2</v>
      </c>
      <c r="G62">
        <f>VLOOKUP(B62,Calories!$A$1:$B$15,2,FALSE)</f>
        <v>120</v>
      </c>
    </row>
    <row r="63" spans="1:7" x14ac:dyDescent="0.25">
      <c r="A63" s="11">
        <v>43499</v>
      </c>
      <c r="B63" t="s">
        <v>4</v>
      </c>
      <c r="C63" t="s">
        <v>5</v>
      </c>
      <c r="D63" s="2">
        <v>1.5</v>
      </c>
      <c r="E63" s="1">
        <v>0.66666666666666663</v>
      </c>
      <c r="F63" s="4">
        <v>1</v>
      </c>
      <c r="G63">
        <f>VLOOKUP(B63,Calories!$A$1:$B$15,2,FALSE)</f>
        <v>265</v>
      </c>
    </row>
    <row r="64" spans="1:7" x14ac:dyDescent="0.25">
      <c r="A64" s="11">
        <v>43500</v>
      </c>
      <c r="B64" t="s">
        <v>7</v>
      </c>
      <c r="C64" t="s">
        <v>5</v>
      </c>
      <c r="D64" s="2">
        <v>2</v>
      </c>
      <c r="E64" s="1">
        <v>0.25</v>
      </c>
      <c r="F64" s="4">
        <v>0.5</v>
      </c>
      <c r="G64">
        <f>VLOOKUP(B64,Calories!$A$1:$B$15,2,FALSE)</f>
        <v>480</v>
      </c>
    </row>
    <row r="65" spans="1:7" x14ac:dyDescent="0.25">
      <c r="A65" s="11">
        <v>43468</v>
      </c>
      <c r="B65" t="s">
        <v>11</v>
      </c>
      <c r="C65" t="s">
        <v>16</v>
      </c>
      <c r="D65" s="2">
        <v>2.5</v>
      </c>
      <c r="E65" s="1">
        <v>0.8</v>
      </c>
      <c r="F65" s="4">
        <v>2</v>
      </c>
      <c r="G65">
        <f>VLOOKUP(B65,Calories!$A$1:$B$15,2,FALSE)</f>
        <v>120</v>
      </c>
    </row>
    <row r="66" spans="1:7" x14ac:dyDescent="0.25">
      <c r="A66" s="11">
        <v>43468</v>
      </c>
      <c r="B66" t="s">
        <v>15</v>
      </c>
      <c r="C66" t="s">
        <v>17</v>
      </c>
      <c r="D66" s="2">
        <v>2</v>
      </c>
      <c r="E66" s="1">
        <v>0.5</v>
      </c>
      <c r="F66" s="4">
        <v>1</v>
      </c>
      <c r="G66">
        <f>VLOOKUP(B66,Calories!$A$1:$B$15,2,FALSE)</f>
        <v>300</v>
      </c>
    </row>
    <row r="67" spans="1:7" x14ac:dyDescent="0.25">
      <c r="A67" s="11">
        <v>43469</v>
      </c>
      <c r="B67" t="s">
        <v>19</v>
      </c>
      <c r="C67" t="s">
        <v>21</v>
      </c>
      <c r="D67" s="2">
        <v>3</v>
      </c>
      <c r="E67" s="1">
        <v>0.5</v>
      </c>
      <c r="F67" s="4">
        <v>1.5</v>
      </c>
      <c r="G67">
        <f>VLOOKUP(B67,Calories!$A$1:$B$15,2,FALSE)</f>
        <v>300</v>
      </c>
    </row>
    <row r="68" spans="1:7" x14ac:dyDescent="0.25">
      <c r="A68" s="11">
        <v>43469</v>
      </c>
      <c r="B68" t="s">
        <v>11</v>
      </c>
      <c r="C68" t="s">
        <v>16</v>
      </c>
      <c r="D68" s="2">
        <v>2.5</v>
      </c>
      <c r="E68" s="1">
        <v>0.8</v>
      </c>
      <c r="F68" s="4">
        <v>2</v>
      </c>
      <c r="G68">
        <f>VLOOKUP(B68,Calories!$A$1:$B$15,2,FALSE)</f>
        <v>120</v>
      </c>
    </row>
    <row r="69" spans="1:7" x14ac:dyDescent="0.25">
      <c r="A69" s="11">
        <v>43469</v>
      </c>
      <c r="B69" t="s">
        <v>14</v>
      </c>
      <c r="C69" t="s">
        <v>17</v>
      </c>
      <c r="D69" s="2">
        <v>2</v>
      </c>
      <c r="E69" s="1">
        <v>0.75</v>
      </c>
      <c r="F69" s="4">
        <v>1.5</v>
      </c>
      <c r="G69">
        <f>VLOOKUP(B69,Calories!$A$1:$B$15,2,FALSE)</f>
        <v>255</v>
      </c>
    </row>
    <row r="70" spans="1:7" x14ac:dyDescent="0.25">
      <c r="A70" s="11">
        <v>43469</v>
      </c>
      <c r="B70" t="s">
        <v>10</v>
      </c>
      <c r="C70" t="s">
        <v>16</v>
      </c>
      <c r="D70" s="2">
        <v>4</v>
      </c>
      <c r="E70" s="1">
        <v>0.5</v>
      </c>
      <c r="F70" s="4">
        <v>2</v>
      </c>
      <c r="G70">
        <f>VLOOKUP(B70,Calories!$A$1:$B$15,2,FALSE)</f>
        <v>200</v>
      </c>
    </row>
    <row r="71" spans="1:7" x14ac:dyDescent="0.25">
      <c r="A71" s="11">
        <v>43469</v>
      </c>
      <c r="B71" t="s">
        <v>19</v>
      </c>
      <c r="C71" t="s">
        <v>21</v>
      </c>
      <c r="D71" s="2">
        <v>3</v>
      </c>
      <c r="E71" s="1">
        <v>0.5</v>
      </c>
      <c r="F71" s="4">
        <v>1.5</v>
      </c>
      <c r="G71">
        <f>VLOOKUP(B71,Calories!$A$1:$B$15,2,FALSE)</f>
        <v>300</v>
      </c>
    </row>
    <row r="72" spans="1:7" x14ac:dyDescent="0.25">
      <c r="A72" s="11">
        <v>43469</v>
      </c>
      <c r="B72" t="s">
        <v>10</v>
      </c>
      <c r="C72" t="s">
        <v>16</v>
      </c>
      <c r="D72" s="2">
        <v>4</v>
      </c>
      <c r="E72" s="1">
        <v>0.5</v>
      </c>
      <c r="F72" s="4">
        <v>2</v>
      </c>
      <c r="G72">
        <f>VLOOKUP(B72,Calories!$A$1:$B$15,2,FALSE)</f>
        <v>200</v>
      </c>
    </row>
    <row r="73" spans="1:7" x14ac:dyDescent="0.25">
      <c r="A73" s="11">
        <v>43469</v>
      </c>
      <c r="B73" t="s">
        <v>6</v>
      </c>
      <c r="C73" t="s">
        <v>5</v>
      </c>
      <c r="D73" s="2">
        <v>3</v>
      </c>
      <c r="E73" s="1">
        <v>0.5</v>
      </c>
      <c r="F73" s="4">
        <v>1.5</v>
      </c>
      <c r="G73">
        <f>VLOOKUP(B73,Calories!$A$1:$B$15,2,FALSE)</f>
        <v>560</v>
      </c>
    </row>
    <row r="74" spans="1:7" x14ac:dyDescent="0.25">
      <c r="A74" s="11">
        <v>43469</v>
      </c>
      <c r="B74" t="s">
        <v>6</v>
      </c>
      <c r="C74" t="s">
        <v>5</v>
      </c>
      <c r="D74" s="2">
        <v>3</v>
      </c>
      <c r="E74" s="1">
        <v>0.5</v>
      </c>
      <c r="F74" s="4">
        <v>1.5</v>
      </c>
      <c r="G74">
        <f>VLOOKUP(B74,Calories!$A$1:$B$15,2,FALSE)</f>
        <v>560</v>
      </c>
    </row>
    <row r="75" spans="1:7" x14ac:dyDescent="0.25">
      <c r="A75" s="11">
        <v>43469</v>
      </c>
      <c r="B75" t="s">
        <v>6</v>
      </c>
      <c r="C75" t="s">
        <v>5</v>
      </c>
      <c r="D75" s="2">
        <v>3</v>
      </c>
      <c r="E75" s="1">
        <v>0.5</v>
      </c>
      <c r="F75" s="4">
        <v>1.5</v>
      </c>
      <c r="G75">
        <f>VLOOKUP(B75,Calories!$A$1:$B$15,2,FALSE)</f>
        <v>560</v>
      </c>
    </row>
    <row r="76" spans="1:7" x14ac:dyDescent="0.25">
      <c r="A76" s="11">
        <v>43466</v>
      </c>
      <c r="B76" t="s">
        <v>15</v>
      </c>
      <c r="C76" t="s">
        <v>17</v>
      </c>
      <c r="D76" s="2">
        <v>2</v>
      </c>
      <c r="E76" s="1">
        <v>0.5</v>
      </c>
      <c r="F76" s="4">
        <v>1</v>
      </c>
      <c r="G76">
        <f>VLOOKUP(B76,Calories!$A$1:$B$15,2,FALSE)</f>
        <v>300</v>
      </c>
    </row>
    <row r="77" spans="1:7" x14ac:dyDescent="0.25">
      <c r="A77" s="11">
        <v>43497</v>
      </c>
      <c r="B77" t="s">
        <v>4</v>
      </c>
      <c r="C77" t="s">
        <v>5</v>
      </c>
      <c r="D77" s="2">
        <v>1.5</v>
      </c>
      <c r="E77" s="1">
        <v>0.66666666666666663</v>
      </c>
      <c r="F77" s="4">
        <v>1</v>
      </c>
      <c r="G77">
        <f>VLOOKUP(B77,Calories!$A$1:$B$15,2,FALSE)</f>
        <v>265</v>
      </c>
    </row>
    <row r="78" spans="1:7" x14ac:dyDescent="0.25">
      <c r="A78" s="11">
        <v>43470</v>
      </c>
      <c r="B78" t="s">
        <v>7</v>
      </c>
      <c r="C78" t="s">
        <v>5</v>
      </c>
      <c r="D78" s="2">
        <v>2</v>
      </c>
      <c r="E78" s="1">
        <v>0.25</v>
      </c>
      <c r="F78" s="4">
        <v>0.5</v>
      </c>
      <c r="G78">
        <f>VLOOKUP(B78,Calories!$A$1:$B$15,2,FALSE)</f>
        <v>480</v>
      </c>
    </row>
    <row r="79" spans="1:7" x14ac:dyDescent="0.25">
      <c r="A79" s="11">
        <v>43471</v>
      </c>
      <c r="B79" t="s">
        <v>12</v>
      </c>
      <c r="C79" t="s">
        <v>16</v>
      </c>
      <c r="D79" s="2">
        <v>3</v>
      </c>
      <c r="E79" s="1">
        <v>0.83333333333333337</v>
      </c>
      <c r="F79" s="4">
        <v>2.5</v>
      </c>
      <c r="G79">
        <f>VLOOKUP(B79,Calories!$A$1:$B$15,2,FALSE)</f>
        <v>0</v>
      </c>
    </row>
    <row r="80" spans="1:7" x14ac:dyDescent="0.25">
      <c r="A80" s="11">
        <v>43472</v>
      </c>
      <c r="B80" t="s">
        <v>8</v>
      </c>
      <c r="C80" t="s">
        <v>5</v>
      </c>
      <c r="D80" s="2">
        <v>3</v>
      </c>
      <c r="E80" s="1">
        <v>0.66666666666666663</v>
      </c>
      <c r="F80" s="4">
        <v>2</v>
      </c>
      <c r="G80">
        <f>VLOOKUP(B80,Calories!$A$1:$B$15,2,FALSE)</f>
        <v>320</v>
      </c>
    </row>
    <row r="81" spans="1:7" x14ac:dyDescent="0.25">
      <c r="A81" s="11">
        <v>43473</v>
      </c>
      <c r="B81" t="s">
        <v>19</v>
      </c>
      <c r="C81" t="s">
        <v>21</v>
      </c>
      <c r="D81" s="2">
        <v>3</v>
      </c>
      <c r="E81" s="1">
        <v>0.5</v>
      </c>
      <c r="F81" s="4">
        <v>1.5</v>
      </c>
      <c r="G81">
        <f>VLOOKUP(B81,Calories!$A$1:$B$15,2,FALSE)</f>
        <v>300</v>
      </c>
    </row>
    <row r="82" spans="1:7" x14ac:dyDescent="0.25">
      <c r="A82" s="11">
        <v>43474</v>
      </c>
      <c r="B82" t="s">
        <v>9</v>
      </c>
      <c r="C82" t="s">
        <v>5</v>
      </c>
      <c r="D82" s="2">
        <v>5</v>
      </c>
      <c r="E82" s="1">
        <v>0.8</v>
      </c>
      <c r="F82" s="4">
        <v>4</v>
      </c>
      <c r="G82">
        <f>VLOOKUP(B82,Calories!$A$1:$B$15,2,FALSE)</f>
        <v>500</v>
      </c>
    </row>
    <row r="83" spans="1:7" x14ac:dyDescent="0.25">
      <c r="A83" s="11">
        <v>43475</v>
      </c>
      <c r="B83" t="s">
        <v>4</v>
      </c>
      <c r="C83" t="s">
        <v>5</v>
      </c>
      <c r="D83" s="2">
        <v>1.5</v>
      </c>
      <c r="E83" s="1">
        <v>0.66666666666666663</v>
      </c>
      <c r="F83" s="4">
        <v>1</v>
      </c>
      <c r="G83">
        <f>VLOOKUP(B83,Calories!$A$1:$B$15,2,FALSE)</f>
        <v>265</v>
      </c>
    </row>
    <row r="84" spans="1:7" x14ac:dyDescent="0.25">
      <c r="A84" s="11">
        <v>43476</v>
      </c>
      <c r="B84" t="s">
        <v>18</v>
      </c>
      <c r="C84" t="s">
        <v>21</v>
      </c>
      <c r="D84" s="2">
        <v>3</v>
      </c>
      <c r="E84" s="1">
        <v>0.66666666666666663</v>
      </c>
      <c r="F84" s="4">
        <v>2</v>
      </c>
      <c r="G84">
        <f>VLOOKUP(B84,Calories!$A$1:$B$15,2,FALSE)</f>
        <v>240</v>
      </c>
    </row>
    <row r="85" spans="1:7" x14ac:dyDescent="0.25">
      <c r="A85" s="11">
        <v>43477</v>
      </c>
      <c r="B85" t="s">
        <v>14</v>
      </c>
      <c r="C85" t="s">
        <v>17</v>
      </c>
      <c r="D85" s="2">
        <v>2</v>
      </c>
      <c r="E85" s="1">
        <v>0.75</v>
      </c>
      <c r="F85" s="4">
        <v>1.5</v>
      </c>
      <c r="G85">
        <f>VLOOKUP(B85,Calories!$A$1:$B$15,2,FALSE)</f>
        <v>255</v>
      </c>
    </row>
    <row r="86" spans="1:7" x14ac:dyDescent="0.25">
      <c r="A86" s="11">
        <v>43478</v>
      </c>
      <c r="B86" t="s">
        <v>13</v>
      </c>
      <c r="C86" t="s">
        <v>17</v>
      </c>
      <c r="D86" s="2">
        <v>2</v>
      </c>
      <c r="E86" s="1">
        <v>0.5</v>
      </c>
      <c r="F86" s="4">
        <v>1</v>
      </c>
      <c r="G86">
        <f>VLOOKUP(B86,Calories!$A$1:$B$15,2,FALSE)</f>
        <v>280</v>
      </c>
    </row>
    <row r="87" spans="1:7" x14ac:dyDescent="0.25">
      <c r="A87" s="11">
        <v>43479</v>
      </c>
      <c r="B87" t="s">
        <v>10</v>
      </c>
      <c r="C87" t="s">
        <v>16</v>
      </c>
      <c r="D87" s="2">
        <v>4</v>
      </c>
      <c r="E87" s="1">
        <v>0.5</v>
      </c>
      <c r="F87" s="4">
        <v>2</v>
      </c>
      <c r="G87">
        <f>VLOOKUP(B87,Calories!$A$1:$B$15,2,FALSE)</f>
        <v>200</v>
      </c>
    </row>
    <row r="88" spans="1:7" x14ac:dyDescent="0.25">
      <c r="A88" s="11">
        <v>43480</v>
      </c>
      <c r="B88" t="s">
        <v>4</v>
      </c>
      <c r="C88" t="s">
        <v>5</v>
      </c>
      <c r="D88" s="2">
        <v>1.5</v>
      </c>
      <c r="E88" s="1">
        <v>0.66666666666666663</v>
      </c>
      <c r="F88" s="4">
        <v>1</v>
      </c>
      <c r="G88">
        <f>VLOOKUP(B88,Calories!$A$1:$B$15,2,FALSE)</f>
        <v>265</v>
      </c>
    </row>
    <row r="89" spans="1:7" x14ac:dyDescent="0.25">
      <c r="A89" s="11">
        <v>43481</v>
      </c>
      <c r="B89" t="s">
        <v>18</v>
      </c>
      <c r="C89" t="s">
        <v>21</v>
      </c>
      <c r="D89" s="2">
        <v>3</v>
      </c>
      <c r="E89" s="1">
        <v>0.66666666666666663</v>
      </c>
      <c r="F89" s="4">
        <v>2</v>
      </c>
      <c r="G89">
        <f>VLOOKUP(B89,Calories!$A$1:$B$15,2,FALSE)</f>
        <v>240</v>
      </c>
    </row>
    <row r="90" spans="1:7" x14ac:dyDescent="0.25">
      <c r="A90" s="11">
        <v>43482</v>
      </c>
      <c r="B90" t="s">
        <v>4</v>
      </c>
      <c r="C90" t="s">
        <v>5</v>
      </c>
      <c r="D90" s="2">
        <v>1.5</v>
      </c>
      <c r="E90" s="1">
        <v>0.66666666666666663</v>
      </c>
      <c r="F90" s="4">
        <v>1</v>
      </c>
      <c r="G90">
        <f>VLOOKUP(B90,Calories!$A$1:$B$15,2,FALSE)</f>
        <v>265</v>
      </c>
    </row>
    <row r="91" spans="1:7" x14ac:dyDescent="0.25">
      <c r="A91" s="11">
        <v>43483</v>
      </c>
      <c r="B91" t="s">
        <v>18</v>
      </c>
      <c r="C91" t="s">
        <v>21</v>
      </c>
      <c r="D91" s="2">
        <v>3</v>
      </c>
      <c r="E91" s="1">
        <v>0.66666666666666663</v>
      </c>
      <c r="F91" s="4">
        <v>2</v>
      </c>
      <c r="G91">
        <f>VLOOKUP(B91,Calories!$A$1:$B$15,2,FALSE)</f>
        <v>240</v>
      </c>
    </row>
    <row r="92" spans="1:7" x14ac:dyDescent="0.25">
      <c r="A92" s="11">
        <v>43484</v>
      </c>
      <c r="B92" t="s">
        <v>11</v>
      </c>
      <c r="C92" t="s">
        <v>16</v>
      </c>
      <c r="D92" s="2">
        <v>2.5</v>
      </c>
      <c r="E92" s="1">
        <v>0.8</v>
      </c>
      <c r="F92" s="4">
        <v>2</v>
      </c>
      <c r="G92">
        <f>VLOOKUP(B92,Calories!$A$1:$B$15,2,FALSE)</f>
        <v>120</v>
      </c>
    </row>
    <row r="93" spans="1:7" x14ac:dyDescent="0.25">
      <c r="A93" s="11">
        <v>43485</v>
      </c>
      <c r="B93" t="s">
        <v>14</v>
      </c>
      <c r="C93" t="s">
        <v>17</v>
      </c>
      <c r="D93" s="2">
        <v>2</v>
      </c>
      <c r="E93" s="1">
        <v>0.75</v>
      </c>
      <c r="F93" s="4">
        <v>1.5</v>
      </c>
      <c r="G93">
        <f>VLOOKUP(B93,Calories!$A$1:$B$15,2,FALSE)</f>
        <v>255</v>
      </c>
    </row>
    <row r="94" spans="1:7" x14ac:dyDescent="0.25">
      <c r="A94" s="11">
        <v>43486</v>
      </c>
      <c r="B94" t="s">
        <v>15</v>
      </c>
      <c r="C94" t="s">
        <v>17</v>
      </c>
      <c r="D94" s="2">
        <v>2</v>
      </c>
      <c r="E94" s="1">
        <v>0.5</v>
      </c>
      <c r="F94" s="4">
        <v>1</v>
      </c>
      <c r="G94">
        <f>VLOOKUP(B94,Calories!$A$1:$B$15,2,FALSE)</f>
        <v>300</v>
      </c>
    </row>
    <row r="95" spans="1:7" x14ac:dyDescent="0.25">
      <c r="A95" s="11">
        <v>43487</v>
      </c>
      <c r="B95" t="s">
        <v>7</v>
      </c>
      <c r="C95" t="s">
        <v>5</v>
      </c>
      <c r="D95" s="2">
        <v>2</v>
      </c>
      <c r="E95" s="1">
        <v>0.25</v>
      </c>
      <c r="F95" s="4">
        <v>0.5</v>
      </c>
      <c r="G95">
        <f>VLOOKUP(B95,Calories!$A$1:$B$15,2,FALSE)</f>
        <v>480</v>
      </c>
    </row>
    <row r="96" spans="1:7" x14ac:dyDescent="0.25">
      <c r="A96" s="11">
        <v>43488</v>
      </c>
      <c r="B96" t="s">
        <v>4</v>
      </c>
      <c r="C96" t="s">
        <v>5</v>
      </c>
      <c r="D96" s="2">
        <v>1.5</v>
      </c>
      <c r="E96" s="1">
        <v>0.66666666666666663</v>
      </c>
      <c r="F96" s="4">
        <v>1</v>
      </c>
      <c r="G96">
        <f>VLOOKUP(B96,Calories!$A$1:$B$15,2,FALSE)</f>
        <v>265</v>
      </c>
    </row>
    <row r="97" spans="1:7" x14ac:dyDescent="0.25">
      <c r="A97" s="11">
        <v>43489</v>
      </c>
      <c r="B97" t="s">
        <v>15</v>
      </c>
      <c r="C97" t="s">
        <v>17</v>
      </c>
      <c r="D97" s="2">
        <v>2</v>
      </c>
      <c r="E97" s="1">
        <v>0.5</v>
      </c>
      <c r="F97" s="4">
        <v>1</v>
      </c>
      <c r="G97">
        <f>VLOOKUP(B97,Calories!$A$1:$B$15,2,FALSE)</f>
        <v>300</v>
      </c>
    </row>
    <row r="98" spans="1:7" x14ac:dyDescent="0.25">
      <c r="A98" s="11">
        <v>43490</v>
      </c>
      <c r="B98" t="s">
        <v>18</v>
      </c>
      <c r="C98" t="s">
        <v>21</v>
      </c>
      <c r="D98" s="2">
        <v>3</v>
      </c>
      <c r="E98" s="1">
        <v>0.66666666666666663</v>
      </c>
      <c r="F98" s="4">
        <v>2</v>
      </c>
      <c r="G98">
        <f>VLOOKUP(B98,Calories!$A$1:$B$15,2,FALSE)</f>
        <v>240</v>
      </c>
    </row>
    <row r="99" spans="1:7" x14ac:dyDescent="0.25">
      <c r="A99" s="11">
        <v>43491</v>
      </c>
      <c r="B99" t="s">
        <v>13</v>
      </c>
      <c r="C99" t="s">
        <v>17</v>
      </c>
      <c r="D99" s="2">
        <v>2</v>
      </c>
      <c r="E99" s="1">
        <v>0.5</v>
      </c>
      <c r="F99" s="4">
        <v>1</v>
      </c>
      <c r="G99">
        <f>VLOOKUP(B99,Calories!$A$1:$B$15,2,FALSE)</f>
        <v>280</v>
      </c>
    </row>
    <row r="100" spans="1:7" x14ac:dyDescent="0.25">
      <c r="A100" s="11">
        <v>43492</v>
      </c>
      <c r="B100" t="s">
        <v>10</v>
      </c>
      <c r="C100" t="s">
        <v>16</v>
      </c>
      <c r="D100" s="2">
        <v>4</v>
      </c>
      <c r="E100" s="1">
        <v>0.5</v>
      </c>
      <c r="F100" s="4">
        <v>2</v>
      </c>
      <c r="G100">
        <f>VLOOKUP(B100,Calories!$A$1:$B$15,2,FALSE)</f>
        <v>200</v>
      </c>
    </row>
    <row r="101" spans="1:7" x14ac:dyDescent="0.25">
      <c r="A101" s="11">
        <v>43493</v>
      </c>
      <c r="B101" t="s">
        <v>8</v>
      </c>
      <c r="C101" t="s">
        <v>5</v>
      </c>
      <c r="D101" s="2">
        <v>3</v>
      </c>
      <c r="E101" s="1">
        <v>0.66666666666666663</v>
      </c>
      <c r="F101" s="4">
        <v>2</v>
      </c>
      <c r="G101">
        <f>VLOOKUP(B101,Calories!$A$1:$B$15,2,FALSE)</f>
        <v>320</v>
      </c>
    </row>
    <row r="102" spans="1:7" x14ac:dyDescent="0.25">
      <c r="A102" s="11">
        <v>43494</v>
      </c>
      <c r="B102" t="s">
        <v>10</v>
      </c>
      <c r="C102" t="s">
        <v>16</v>
      </c>
      <c r="D102" s="2">
        <v>4</v>
      </c>
      <c r="E102" s="1">
        <v>0.5</v>
      </c>
      <c r="F102" s="4">
        <v>2</v>
      </c>
      <c r="G102">
        <f>VLOOKUP(B102,Calories!$A$1:$B$15,2,FALSE)</f>
        <v>200</v>
      </c>
    </row>
    <row r="103" spans="1:7" x14ac:dyDescent="0.25">
      <c r="A103" s="11">
        <v>43495</v>
      </c>
      <c r="B103" t="s">
        <v>18</v>
      </c>
      <c r="C103" t="s">
        <v>21</v>
      </c>
      <c r="D103" s="2">
        <v>3</v>
      </c>
      <c r="E103" s="1">
        <v>0.66666666666666663</v>
      </c>
      <c r="F103" s="4">
        <v>2</v>
      </c>
      <c r="G103">
        <f>VLOOKUP(B103,Calories!$A$1:$B$15,2,FALSE)</f>
        <v>240</v>
      </c>
    </row>
    <row r="104" spans="1:7" x14ac:dyDescent="0.25">
      <c r="A104" s="11">
        <v>43496</v>
      </c>
      <c r="B104" t="s">
        <v>15</v>
      </c>
      <c r="C104" t="s">
        <v>17</v>
      </c>
      <c r="D104" s="2">
        <v>2</v>
      </c>
      <c r="E104" s="1">
        <v>0.5</v>
      </c>
      <c r="F104" s="4">
        <v>1</v>
      </c>
      <c r="G104">
        <f>VLOOKUP(B104,Calories!$A$1:$B$15,2,FALSE)</f>
        <v>300</v>
      </c>
    </row>
    <row r="105" spans="1:7" x14ac:dyDescent="0.25">
      <c r="A105" s="11">
        <v>43497</v>
      </c>
      <c r="B105" t="s">
        <v>8</v>
      </c>
      <c r="C105" t="s">
        <v>5</v>
      </c>
      <c r="D105" s="2">
        <v>3</v>
      </c>
      <c r="E105" s="1">
        <v>0.66666666666666663</v>
      </c>
      <c r="F105" s="4">
        <v>2</v>
      </c>
      <c r="G105">
        <f>VLOOKUP(B105,Calories!$A$1:$B$15,2,FALSE)</f>
        <v>320</v>
      </c>
    </row>
    <row r="106" spans="1:7" x14ac:dyDescent="0.25">
      <c r="A106" s="11">
        <v>43498</v>
      </c>
      <c r="B106" t="s">
        <v>13</v>
      </c>
      <c r="C106" t="s">
        <v>17</v>
      </c>
      <c r="D106" s="2">
        <v>2</v>
      </c>
      <c r="E106" s="1">
        <v>0.5</v>
      </c>
      <c r="F106" s="4">
        <v>1</v>
      </c>
      <c r="G106">
        <f>VLOOKUP(B106,Calories!$A$1:$B$15,2,FALSE)</f>
        <v>280</v>
      </c>
    </row>
    <row r="107" spans="1:7" x14ac:dyDescent="0.25">
      <c r="A107" s="11">
        <v>43499</v>
      </c>
      <c r="B107" t="s">
        <v>8</v>
      </c>
      <c r="C107" t="s">
        <v>5</v>
      </c>
      <c r="D107" s="2">
        <v>3</v>
      </c>
      <c r="E107" s="1">
        <v>0.66666666666666663</v>
      </c>
      <c r="F107" s="4">
        <v>2</v>
      </c>
      <c r="G107">
        <f>VLOOKUP(B107,Calories!$A$1:$B$15,2,FALSE)</f>
        <v>320</v>
      </c>
    </row>
    <row r="108" spans="1:7" x14ac:dyDescent="0.25">
      <c r="A108" s="11">
        <v>43500</v>
      </c>
      <c r="B108" t="s">
        <v>11</v>
      </c>
      <c r="C108" t="s">
        <v>16</v>
      </c>
      <c r="D108" s="2">
        <v>2.5</v>
      </c>
      <c r="E108" s="1">
        <v>0.8</v>
      </c>
      <c r="F108" s="4">
        <v>2</v>
      </c>
      <c r="G108">
        <f>VLOOKUP(B108,Calories!$A$1:$B$15,2,FALSE)</f>
        <v>120</v>
      </c>
    </row>
    <row r="109" spans="1:7" x14ac:dyDescent="0.25">
      <c r="A109" s="11">
        <v>43468</v>
      </c>
      <c r="B109" t="s">
        <v>12</v>
      </c>
      <c r="C109" t="s">
        <v>16</v>
      </c>
      <c r="D109" s="2">
        <v>3</v>
      </c>
      <c r="E109" s="1">
        <v>0.83333333333333337</v>
      </c>
      <c r="F109" s="4">
        <v>2.5</v>
      </c>
      <c r="G109">
        <f>VLOOKUP(B109,Calories!$A$1:$B$15,2,FALSE)</f>
        <v>0</v>
      </c>
    </row>
    <row r="110" spans="1:7" x14ac:dyDescent="0.25">
      <c r="A110" s="11">
        <v>43468</v>
      </c>
      <c r="B110" t="s">
        <v>8</v>
      </c>
      <c r="C110" t="s">
        <v>5</v>
      </c>
      <c r="D110" s="2">
        <v>3</v>
      </c>
      <c r="E110" s="1">
        <v>0.66666666666666663</v>
      </c>
      <c r="F110" s="4">
        <v>2</v>
      </c>
      <c r="G110">
        <f>VLOOKUP(B110,Calories!$A$1:$B$15,2,FALSE)</f>
        <v>320</v>
      </c>
    </row>
    <row r="111" spans="1:7" x14ac:dyDescent="0.25">
      <c r="A111" s="11">
        <v>43469</v>
      </c>
      <c r="B111" t="s">
        <v>18</v>
      </c>
      <c r="C111" t="s">
        <v>21</v>
      </c>
      <c r="D111" s="2">
        <v>3</v>
      </c>
      <c r="E111" s="1">
        <v>0.66666666666666663</v>
      </c>
      <c r="F111" s="4">
        <v>2</v>
      </c>
      <c r="G111">
        <f>VLOOKUP(B111,Calories!$A$1:$B$15,2,FALSE)</f>
        <v>240</v>
      </c>
    </row>
    <row r="112" spans="1:7" x14ac:dyDescent="0.25">
      <c r="A112" s="11">
        <v>43469</v>
      </c>
      <c r="B112" t="s">
        <v>15</v>
      </c>
      <c r="C112" t="s">
        <v>17</v>
      </c>
      <c r="D112" s="2">
        <v>2</v>
      </c>
      <c r="E112" s="1">
        <v>0.5</v>
      </c>
      <c r="F112" s="4">
        <v>1</v>
      </c>
      <c r="G112">
        <f>VLOOKUP(B112,Calories!$A$1:$B$15,2,FALSE)</f>
        <v>300</v>
      </c>
    </row>
    <row r="113" spans="1:7" x14ac:dyDescent="0.25">
      <c r="A113" s="11">
        <v>43469</v>
      </c>
      <c r="B113" t="s">
        <v>12</v>
      </c>
      <c r="C113" t="s">
        <v>16</v>
      </c>
      <c r="D113" s="2">
        <v>3</v>
      </c>
      <c r="E113" s="1">
        <v>0.83333333333333337</v>
      </c>
      <c r="F113" s="4">
        <v>2.5</v>
      </c>
      <c r="G113">
        <f>VLOOKUP(B113,Calories!$A$1:$B$15,2,FALSE)</f>
        <v>0</v>
      </c>
    </row>
    <row r="114" spans="1:7" x14ac:dyDescent="0.25">
      <c r="A114" s="11">
        <v>43469</v>
      </c>
      <c r="B114" t="s">
        <v>4</v>
      </c>
      <c r="C114" t="s">
        <v>5</v>
      </c>
      <c r="D114" s="2">
        <v>1.5</v>
      </c>
      <c r="E114" s="1">
        <v>0.66666666666666663</v>
      </c>
      <c r="F114" s="4">
        <v>1</v>
      </c>
      <c r="G114">
        <f>VLOOKUP(B114,Calories!$A$1:$B$15,2,FALSE)</f>
        <v>265</v>
      </c>
    </row>
    <row r="115" spans="1:7" x14ac:dyDescent="0.25">
      <c r="A115" s="11">
        <v>43469</v>
      </c>
      <c r="B115" t="s">
        <v>11</v>
      </c>
      <c r="C115" t="s">
        <v>16</v>
      </c>
      <c r="D115" s="2">
        <v>2.5</v>
      </c>
      <c r="E115" s="1">
        <v>0.8</v>
      </c>
      <c r="F115" s="4">
        <v>2</v>
      </c>
      <c r="G115">
        <f>VLOOKUP(B115,Calories!$A$1:$B$15,2,FALSE)</f>
        <v>120</v>
      </c>
    </row>
    <row r="116" spans="1:7" x14ac:dyDescent="0.25">
      <c r="A116" s="11">
        <v>43469</v>
      </c>
      <c r="B116" t="s">
        <v>7</v>
      </c>
      <c r="C116" t="s">
        <v>5</v>
      </c>
      <c r="D116" s="2">
        <v>2</v>
      </c>
      <c r="E116" s="1">
        <v>0.25</v>
      </c>
      <c r="F116" s="4">
        <v>0.5</v>
      </c>
      <c r="G116">
        <f>VLOOKUP(B116,Calories!$A$1:$B$15,2,FALSE)</f>
        <v>480</v>
      </c>
    </row>
    <row r="117" spans="1:7" x14ac:dyDescent="0.25">
      <c r="A117" s="11">
        <v>43469</v>
      </c>
      <c r="B117" t="s">
        <v>9</v>
      </c>
      <c r="C117" t="s">
        <v>5</v>
      </c>
      <c r="D117" s="2">
        <v>5</v>
      </c>
      <c r="E117" s="1">
        <v>0.8</v>
      </c>
      <c r="F117" s="4">
        <v>4</v>
      </c>
      <c r="G117">
        <f>VLOOKUP(B117,Calories!$A$1:$B$15,2,FALSE)</f>
        <v>500</v>
      </c>
    </row>
    <row r="118" spans="1:7" x14ac:dyDescent="0.25">
      <c r="A118" s="11">
        <v>43469</v>
      </c>
      <c r="B118" t="s">
        <v>9</v>
      </c>
      <c r="C118" t="s">
        <v>5</v>
      </c>
      <c r="D118" s="2">
        <v>5</v>
      </c>
      <c r="E118" s="1">
        <v>0.8</v>
      </c>
      <c r="F118" s="4">
        <v>4</v>
      </c>
      <c r="G118">
        <f>VLOOKUP(B118,Calories!$A$1:$B$15,2,FALSE)</f>
        <v>500</v>
      </c>
    </row>
    <row r="119" spans="1:7" x14ac:dyDescent="0.25">
      <c r="A119" s="11">
        <v>43469</v>
      </c>
      <c r="B119" t="s">
        <v>18</v>
      </c>
      <c r="C119" t="s">
        <v>21</v>
      </c>
      <c r="D119" s="2">
        <v>3</v>
      </c>
      <c r="E119" s="1">
        <v>0.66666666666666663</v>
      </c>
      <c r="F119" s="4">
        <v>2</v>
      </c>
      <c r="G119">
        <f>VLOOKUP(B119,Calories!$A$1:$B$15,2,FALSE)</f>
        <v>240</v>
      </c>
    </row>
    <row r="120" spans="1:7" x14ac:dyDescent="0.25">
      <c r="A120" s="11">
        <v>43466</v>
      </c>
      <c r="B120" t="s">
        <v>9</v>
      </c>
      <c r="C120" t="s">
        <v>5</v>
      </c>
      <c r="D120" s="2">
        <v>5</v>
      </c>
      <c r="E120" s="1">
        <v>0.8</v>
      </c>
      <c r="F120" s="4">
        <v>4</v>
      </c>
      <c r="G120">
        <f>VLOOKUP(B120,Calories!$A$1:$B$15,2,FALSE)</f>
        <v>500</v>
      </c>
    </row>
    <row r="121" spans="1:7" x14ac:dyDescent="0.25">
      <c r="A121" s="11">
        <v>43497</v>
      </c>
      <c r="B121" t="s">
        <v>12</v>
      </c>
      <c r="C121" t="s">
        <v>16</v>
      </c>
      <c r="D121" s="2">
        <v>3</v>
      </c>
      <c r="E121" s="1">
        <v>0.83333333333333337</v>
      </c>
      <c r="F121" s="4">
        <v>2.5</v>
      </c>
      <c r="G121">
        <f>VLOOKUP(B121,Calories!$A$1:$B$15,2,FALSE)</f>
        <v>0</v>
      </c>
    </row>
    <row r="122" spans="1:7" x14ac:dyDescent="0.25">
      <c r="A122" s="11">
        <v>43470</v>
      </c>
      <c r="B122" t="s">
        <v>13</v>
      </c>
      <c r="C122" t="s">
        <v>17</v>
      </c>
      <c r="D122" s="2">
        <v>2</v>
      </c>
      <c r="E122" s="1">
        <v>0.5</v>
      </c>
      <c r="F122" s="4">
        <v>1</v>
      </c>
      <c r="G122">
        <f>VLOOKUP(B122,Calories!$A$1:$B$15,2,FALSE)</f>
        <v>280</v>
      </c>
    </row>
    <row r="123" spans="1:7" x14ac:dyDescent="0.25">
      <c r="A123" s="11">
        <v>43471</v>
      </c>
      <c r="B123" t="s">
        <v>12</v>
      </c>
      <c r="C123" t="s">
        <v>16</v>
      </c>
      <c r="D123" s="2">
        <v>3</v>
      </c>
      <c r="E123" s="1">
        <v>0.83333333333333337</v>
      </c>
      <c r="F123" s="4">
        <v>2.5</v>
      </c>
      <c r="G123">
        <f>VLOOKUP(B123,Calories!$A$1:$B$15,2,FALSE)</f>
        <v>0</v>
      </c>
    </row>
    <row r="124" spans="1:7" x14ac:dyDescent="0.25">
      <c r="A124" s="11">
        <v>43472</v>
      </c>
      <c r="B124" t="s">
        <v>18</v>
      </c>
      <c r="C124" t="s">
        <v>21</v>
      </c>
      <c r="D124" s="2">
        <v>3</v>
      </c>
      <c r="E124" s="1">
        <v>0.66666666666666663</v>
      </c>
      <c r="F124" s="4">
        <v>2</v>
      </c>
      <c r="G124">
        <f>VLOOKUP(B124,Calories!$A$1:$B$15,2,FALSE)</f>
        <v>240</v>
      </c>
    </row>
    <row r="125" spans="1:7" x14ac:dyDescent="0.25">
      <c r="A125" s="11">
        <v>43473</v>
      </c>
      <c r="B125" t="s">
        <v>7</v>
      </c>
      <c r="C125" t="s">
        <v>5</v>
      </c>
      <c r="D125" s="2">
        <v>2</v>
      </c>
      <c r="E125" s="1">
        <v>0.25</v>
      </c>
      <c r="F125" s="4">
        <v>0.5</v>
      </c>
      <c r="G125">
        <f>VLOOKUP(B125,Calories!$A$1:$B$15,2,FALSE)</f>
        <v>480</v>
      </c>
    </row>
    <row r="126" spans="1:7" x14ac:dyDescent="0.25">
      <c r="A126" s="11">
        <v>43474</v>
      </c>
      <c r="B126" t="s">
        <v>7</v>
      </c>
      <c r="C126" t="s">
        <v>5</v>
      </c>
      <c r="D126" s="2">
        <v>2</v>
      </c>
      <c r="E126" s="1">
        <v>0.25</v>
      </c>
      <c r="F126" s="4">
        <v>0.5</v>
      </c>
      <c r="G126">
        <f>VLOOKUP(B126,Calories!$A$1:$B$15,2,FALSE)</f>
        <v>480</v>
      </c>
    </row>
    <row r="127" spans="1:7" x14ac:dyDescent="0.25">
      <c r="A127" s="11">
        <v>43475</v>
      </c>
      <c r="B127" t="s">
        <v>18</v>
      </c>
      <c r="C127" t="s">
        <v>21</v>
      </c>
      <c r="D127" s="2">
        <v>3</v>
      </c>
      <c r="E127" s="1">
        <v>0.66666666666666663</v>
      </c>
      <c r="F127" s="4">
        <v>2</v>
      </c>
      <c r="G127">
        <f>VLOOKUP(B127,Calories!$A$1:$B$15,2,FALSE)</f>
        <v>240</v>
      </c>
    </row>
    <row r="128" spans="1:7" x14ac:dyDescent="0.25">
      <c r="A128" s="11">
        <v>43476</v>
      </c>
      <c r="B128" t="s">
        <v>7</v>
      </c>
      <c r="C128" t="s">
        <v>5</v>
      </c>
      <c r="D128" s="2">
        <v>2</v>
      </c>
      <c r="E128" s="1">
        <v>0.25</v>
      </c>
      <c r="F128" s="4">
        <v>0.5</v>
      </c>
      <c r="G128">
        <f>VLOOKUP(B128,Calories!$A$1:$B$15,2,FALSE)</f>
        <v>480</v>
      </c>
    </row>
    <row r="129" spans="1:7" x14ac:dyDescent="0.25">
      <c r="A129" s="11">
        <v>43477</v>
      </c>
      <c r="B129" t="s">
        <v>15</v>
      </c>
      <c r="C129" t="s">
        <v>17</v>
      </c>
      <c r="D129" s="2">
        <v>2</v>
      </c>
      <c r="E129" s="1">
        <v>0.5</v>
      </c>
      <c r="F129" s="4">
        <v>1</v>
      </c>
      <c r="G129">
        <f>VLOOKUP(B129,Calories!$A$1:$B$15,2,FALSE)</f>
        <v>300</v>
      </c>
    </row>
    <row r="130" spans="1:7" x14ac:dyDescent="0.25">
      <c r="A130" s="11">
        <v>43478</v>
      </c>
      <c r="B130" t="s">
        <v>14</v>
      </c>
      <c r="C130" t="s">
        <v>17</v>
      </c>
      <c r="D130" s="2">
        <v>2</v>
      </c>
      <c r="E130" s="1">
        <v>0.75</v>
      </c>
      <c r="F130" s="4">
        <v>1.5</v>
      </c>
      <c r="G130">
        <f>VLOOKUP(B130,Calories!$A$1:$B$15,2,FALSE)</f>
        <v>255</v>
      </c>
    </row>
    <row r="131" spans="1:7" x14ac:dyDescent="0.25">
      <c r="A131" s="11">
        <v>43479</v>
      </c>
      <c r="B131" t="s">
        <v>10</v>
      </c>
      <c r="C131" t="s">
        <v>16</v>
      </c>
      <c r="D131" s="2">
        <v>4</v>
      </c>
      <c r="E131" s="1">
        <v>0.5</v>
      </c>
      <c r="F131" s="4">
        <v>2</v>
      </c>
      <c r="G131">
        <f>VLOOKUP(B131,Calories!$A$1:$B$15,2,FALSE)</f>
        <v>200</v>
      </c>
    </row>
    <row r="132" spans="1:7" x14ac:dyDescent="0.25">
      <c r="A132" s="11">
        <v>43480</v>
      </c>
      <c r="B132" t="s">
        <v>18</v>
      </c>
      <c r="C132" t="s">
        <v>21</v>
      </c>
      <c r="D132" s="2">
        <v>3</v>
      </c>
      <c r="E132" s="1">
        <v>0.66666666666666663</v>
      </c>
      <c r="F132" s="4">
        <v>2</v>
      </c>
      <c r="G132">
        <f>VLOOKUP(B132,Calories!$A$1:$B$15,2,FALSE)</f>
        <v>240</v>
      </c>
    </row>
    <row r="133" spans="1:7" x14ac:dyDescent="0.25">
      <c r="A133" s="11">
        <v>43481</v>
      </c>
      <c r="B133" t="s">
        <v>6</v>
      </c>
      <c r="C133" t="s">
        <v>5</v>
      </c>
      <c r="D133" s="2">
        <v>3</v>
      </c>
      <c r="E133" s="1">
        <v>0.5</v>
      </c>
      <c r="F133" s="4">
        <v>1.5</v>
      </c>
      <c r="G133">
        <f>VLOOKUP(B133,Calories!$A$1:$B$15,2,FALSE)</f>
        <v>560</v>
      </c>
    </row>
    <row r="134" spans="1:7" x14ac:dyDescent="0.25">
      <c r="A134" s="11">
        <v>43482</v>
      </c>
      <c r="B134" t="s">
        <v>12</v>
      </c>
      <c r="C134" t="s">
        <v>16</v>
      </c>
      <c r="D134" s="2">
        <v>3</v>
      </c>
      <c r="E134" s="1">
        <v>0.83333333333333337</v>
      </c>
      <c r="F134" s="4">
        <v>2.5</v>
      </c>
      <c r="G134">
        <f>VLOOKUP(B134,Calories!$A$1:$B$15,2,FALSE)</f>
        <v>0</v>
      </c>
    </row>
    <row r="135" spans="1:7" x14ac:dyDescent="0.25">
      <c r="A135" s="11">
        <v>43483</v>
      </c>
      <c r="B135" t="s">
        <v>10</v>
      </c>
      <c r="C135" t="s">
        <v>16</v>
      </c>
      <c r="D135" s="2">
        <v>4</v>
      </c>
      <c r="E135" s="1">
        <v>0.5</v>
      </c>
      <c r="F135" s="4">
        <v>2</v>
      </c>
      <c r="G135">
        <f>VLOOKUP(B135,Calories!$A$1:$B$15,2,FALSE)</f>
        <v>200</v>
      </c>
    </row>
    <row r="136" spans="1:7" x14ac:dyDescent="0.25">
      <c r="A136" s="11">
        <v>43484</v>
      </c>
      <c r="B136" t="s">
        <v>8</v>
      </c>
      <c r="C136" t="s">
        <v>5</v>
      </c>
      <c r="D136" s="2">
        <v>3</v>
      </c>
      <c r="E136" s="1">
        <v>0.66666666666666663</v>
      </c>
      <c r="F136" s="4">
        <v>2</v>
      </c>
      <c r="G136">
        <f>VLOOKUP(B136,Calories!$A$1:$B$15,2,FALSE)</f>
        <v>320</v>
      </c>
    </row>
    <row r="137" spans="1:7" x14ac:dyDescent="0.25">
      <c r="A137" s="11">
        <v>43485</v>
      </c>
      <c r="B137" t="s">
        <v>14</v>
      </c>
      <c r="C137" t="s">
        <v>17</v>
      </c>
      <c r="D137" s="2">
        <v>2</v>
      </c>
      <c r="E137" s="1">
        <v>0.75</v>
      </c>
      <c r="F137" s="4">
        <v>1.5</v>
      </c>
      <c r="G137">
        <f>VLOOKUP(B137,Calories!$A$1:$B$15,2,FALSE)</f>
        <v>255</v>
      </c>
    </row>
    <row r="138" spans="1:7" x14ac:dyDescent="0.25">
      <c r="A138" s="11">
        <v>43486</v>
      </c>
      <c r="B138" t="s">
        <v>9</v>
      </c>
      <c r="C138" t="s">
        <v>5</v>
      </c>
      <c r="D138" s="2">
        <v>5</v>
      </c>
      <c r="E138" s="1">
        <v>0.8</v>
      </c>
      <c r="F138" s="4">
        <v>4</v>
      </c>
      <c r="G138">
        <f>VLOOKUP(B138,Calories!$A$1:$B$15,2,FALSE)</f>
        <v>500</v>
      </c>
    </row>
    <row r="139" spans="1:7" x14ac:dyDescent="0.25">
      <c r="A139" s="11">
        <v>43487</v>
      </c>
      <c r="B139" t="s">
        <v>8</v>
      </c>
      <c r="C139" t="s">
        <v>5</v>
      </c>
      <c r="D139" s="2">
        <v>3</v>
      </c>
      <c r="E139" s="1">
        <v>0.66666666666666663</v>
      </c>
      <c r="F139" s="4">
        <v>2</v>
      </c>
      <c r="G139">
        <f>VLOOKUP(B139,Calories!$A$1:$B$15,2,FALSE)</f>
        <v>320</v>
      </c>
    </row>
    <row r="140" spans="1:7" x14ac:dyDescent="0.25">
      <c r="A140" s="11">
        <v>43488</v>
      </c>
      <c r="B140" t="s">
        <v>11</v>
      </c>
      <c r="C140" t="s">
        <v>16</v>
      </c>
      <c r="D140" s="2">
        <v>2.5</v>
      </c>
      <c r="E140" s="1">
        <v>0.8</v>
      </c>
      <c r="F140" s="4">
        <v>2</v>
      </c>
      <c r="G140">
        <f>VLOOKUP(B140,Calories!$A$1:$B$15,2,FALSE)</f>
        <v>120</v>
      </c>
    </row>
    <row r="141" spans="1:7" x14ac:dyDescent="0.25">
      <c r="A141" s="11">
        <v>43489</v>
      </c>
      <c r="B141" t="s">
        <v>7</v>
      </c>
      <c r="C141" t="s">
        <v>5</v>
      </c>
      <c r="D141" s="2">
        <v>2</v>
      </c>
      <c r="E141" s="1">
        <v>0.25</v>
      </c>
      <c r="F141" s="4">
        <v>0.5</v>
      </c>
      <c r="G141">
        <f>VLOOKUP(B141,Calories!$A$1:$B$15,2,FALSE)</f>
        <v>480</v>
      </c>
    </row>
    <row r="142" spans="1:7" x14ac:dyDescent="0.25">
      <c r="A142" s="11">
        <v>43490</v>
      </c>
      <c r="B142" t="s">
        <v>4</v>
      </c>
      <c r="C142" t="s">
        <v>5</v>
      </c>
      <c r="D142" s="2">
        <v>1.5</v>
      </c>
      <c r="E142" s="1">
        <v>0.66666666666666663</v>
      </c>
      <c r="F142" s="4">
        <v>1</v>
      </c>
      <c r="G142">
        <f>VLOOKUP(B142,Calories!$A$1:$B$15,2,FALSE)</f>
        <v>265</v>
      </c>
    </row>
    <row r="143" spans="1:7" x14ac:dyDescent="0.25">
      <c r="A143" s="11">
        <v>43491</v>
      </c>
      <c r="B143" t="s">
        <v>4</v>
      </c>
      <c r="C143" t="s">
        <v>5</v>
      </c>
      <c r="D143" s="2">
        <v>1.5</v>
      </c>
      <c r="E143" s="1">
        <v>0.66666666666666663</v>
      </c>
      <c r="F143" s="4">
        <v>1</v>
      </c>
      <c r="G143">
        <f>VLOOKUP(B143,Calories!$A$1:$B$15,2,FALSE)</f>
        <v>265</v>
      </c>
    </row>
    <row r="144" spans="1:7" x14ac:dyDescent="0.25">
      <c r="A144" s="11">
        <v>43492</v>
      </c>
      <c r="B144" t="s">
        <v>6</v>
      </c>
      <c r="C144" t="s">
        <v>5</v>
      </c>
      <c r="D144" s="2">
        <v>3</v>
      </c>
      <c r="E144" s="1">
        <v>0.5</v>
      </c>
      <c r="F144" s="4">
        <v>1.5</v>
      </c>
      <c r="G144">
        <f>VLOOKUP(B144,Calories!$A$1:$B$15,2,FALSE)</f>
        <v>560</v>
      </c>
    </row>
    <row r="145" spans="1:7" x14ac:dyDescent="0.25">
      <c r="A145" s="11">
        <v>43493</v>
      </c>
      <c r="B145" t="s">
        <v>8</v>
      </c>
      <c r="C145" t="s">
        <v>5</v>
      </c>
      <c r="D145" s="2">
        <v>3</v>
      </c>
      <c r="E145" s="1">
        <v>0.66666666666666663</v>
      </c>
      <c r="F145" s="4">
        <v>2</v>
      </c>
      <c r="G145">
        <f>VLOOKUP(B145,Calories!$A$1:$B$15,2,FALSE)</f>
        <v>320</v>
      </c>
    </row>
    <row r="146" spans="1:7" x14ac:dyDescent="0.25">
      <c r="A146" s="11">
        <v>43494</v>
      </c>
      <c r="B146" t="s">
        <v>6</v>
      </c>
      <c r="C146" t="s">
        <v>5</v>
      </c>
      <c r="D146" s="2">
        <v>3</v>
      </c>
      <c r="E146" s="1">
        <v>0.5</v>
      </c>
      <c r="F146" s="4">
        <v>1.5</v>
      </c>
      <c r="G146">
        <f>VLOOKUP(B146,Calories!$A$1:$B$15,2,FALSE)</f>
        <v>560</v>
      </c>
    </row>
    <row r="147" spans="1:7" x14ac:dyDescent="0.25">
      <c r="A147" s="11">
        <v>43495</v>
      </c>
      <c r="B147" t="s">
        <v>8</v>
      </c>
      <c r="C147" t="s">
        <v>5</v>
      </c>
      <c r="D147" s="2">
        <v>3</v>
      </c>
      <c r="E147" s="1">
        <v>0.66666666666666663</v>
      </c>
      <c r="F147" s="4">
        <v>2</v>
      </c>
      <c r="G147">
        <f>VLOOKUP(B147,Calories!$A$1:$B$15,2,FALSE)</f>
        <v>320</v>
      </c>
    </row>
    <row r="148" spans="1:7" x14ac:dyDescent="0.25">
      <c r="A148" s="11">
        <v>43496</v>
      </c>
      <c r="B148" t="s">
        <v>4</v>
      </c>
      <c r="C148" t="s">
        <v>5</v>
      </c>
      <c r="D148" s="2">
        <v>1.5</v>
      </c>
      <c r="E148" s="1">
        <v>0.66666666666666663</v>
      </c>
      <c r="F148" s="4">
        <v>1</v>
      </c>
      <c r="G148">
        <f>VLOOKUP(B148,Calories!$A$1:$B$15,2,FALSE)</f>
        <v>265</v>
      </c>
    </row>
    <row r="149" spans="1:7" x14ac:dyDescent="0.25">
      <c r="A149" s="11">
        <v>43497</v>
      </c>
      <c r="B149" t="s">
        <v>6</v>
      </c>
      <c r="C149" t="s">
        <v>5</v>
      </c>
      <c r="D149" s="2">
        <v>3</v>
      </c>
      <c r="E149" s="1">
        <v>0.5</v>
      </c>
      <c r="F149" s="4">
        <v>1.5</v>
      </c>
      <c r="G149">
        <f>VLOOKUP(B149,Calories!$A$1:$B$15,2,FALSE)</f>
        <v>560</v>
      </c>
    </row>
    <row r="150" spans="1:7" x14ac:dyDescent="0.25">
      <c r="A150" s="11">
        <v>43498</v>
      </c>
      <c r="B150" t="s">
        <v>20</v>
      </c>
      <c r="C150" t="s">
        <v>21</v>
      </c>
      <c r="D150" s="2">
        <v>3</v>
      </c>
      <c r="E150" s="1">
        <v>0.83333333333333337</v>
      </c>
      <c r="F150" s="4">
        <v>2.5</v>
      </c>
      <c r="G150">
        <f>VLOOKUP(B150,Calories!$A$1:$B$15,2,FALSE)</f>
        <v>150</v>
      </c>
    </row>
    <row r="151" spans="1:7" x14ac:dyDescent="0.25">
      <c r="A151" s="11">
        <v>43499</v>
      </c>
      <c r="B151" t="s">
        <v>9</v>
      </c>
      <c r="C151" t="s">
        <v>5</v>
      </c>
      <c r="D151" s="2">
        <v>5</v>
      </c>
      <c r="E151" s="1">
        <v>0.8</v>
      </c>
      <c r="F151" s="4">
        <v>4</v>
      </c>
      <c r="G151">
        <f>VLOOKUP(B151,Calories!$A$1:$B$15,2,FALSE)</f>
        <v>500</v>
      </c>
    </row>
    <row r="152" spans="1:7" x14ac:dyDescent="0.25">
      <c r="A152" s="11">
        <v>43500</v>
      </c>
      <c r="B152" t="s">
        <v>9</v>
      </c>
      <c r="C152" t="s">
        <v>5</v>
      </c>
      <c r="D152" s="2">
        <v>5</v>
      </c>
      <c r="E152" s="1">
        <v>0.8</v>
      </c>
      <c r="F152" s="4">
        <v>4</v>
      </c>
      <c r="G152">
        <f>VLOOKUP(B152,Calories!$A$1:$B$15,2,FALSE)</f>
        <v>500</v>
      </c>
    </row>
    <row r="153" spans="1:7" x14ac:dyDescent="0.25">
      <c r="A153" s="11">
        <v>43468</v>
      </c>
      <c r="B153" t="s">
        <v>12</v>
      </c>
      <c r="C153" t="s">
        <v>16</v>
      </c>
      <c r="D153" s="2">
        <v>3</v>
      </c>
      <c r="E153" s="1">
        <v>0.83333333333333337</v>
      </c>
      <c r="F153" s="4">
        <v>2.5</v>
      </c>
      <c r="G153">
        <f>VLOOKUP(B153,Calories!$A$1:$B$15,2,FALSE)</f>
        <v>0</v>
      </c>
    </row>
    <row r="154" spans="1:7" x14ac:dyDescent="0.25">
      <c r="A154" s="11">
        <v>43468</v>
      </c>
      <c r="B154" t="s">
        <v>8</v>
      </c>
      <c r="C154" t="s">
        <v>5</v>
      </c>
      <c r="D154" s="2">
        <v>3</v>
      </c>
      <c r="E154" s="1">
        <v>0.66666666666666663</v>
      </c>
      <c r="F154" s="4">
        <v>2</v>
      </c>
      <c r="G154">
        <f>VLOOKUP(B154,Calories!$A$1:$B$15,2,FALSE)</f>
        <v>320</v>
      </c>
    </row>
    <row r="155" spans="1:7" x14ac:dyDescent="0.25">
      <c r="A155" s="11">
        <v>43469</v>
      </c>
      <c r="B155" t="s">
        <v>7</v>
      </c>
      <c r="C155" t="s">
        <v>5</v>
      </c>
      <c r="D155" s="2">
        <v>2</v>
      </c>
      <c r="E155" s="1">
        <v>0.25</v>
      </c>
      <c r="F155" s="4">
        <v>0.5</v>
      </c>
      <c r="G155">
        <f>VLOOKUP(B155,Calories!$A$1:$B$15,2,FALSE)</f>
        <v>480</v>
      </c>
    </row>
    <row r="156" spans="1:7" x14ac:dyDescent="0.25">
      <c r="A156" s="11">
        <v>43469</v>
      </c>
      <c r="B156" t="s">
        <v>20</v>
      </c>
      <c r="C156" t="s">
        <v>21</v>
      </c>
      <c r="D156" s="2">
        <v>3</v>
      </c>
      <c r="E156" s="1">
        <v>0.83333333333333337</v>
      </c>
      <c r="F156" s="4">
        <v>2.5</v>
      </c>
      <c r="G156">
        <f>VLOOKUP(B156,Calories!$A$1:$B$15,2,FALSE)</f>
        <v>150</v>
      </c>
    </row>
    <row r="157" spans="1:7" x14ac:dyDescent="0.25">
      <c r="A157" s="11">
        <v>43469</v>
      </c>
      <c r="B157" t="s">
        <v>7</v>
      </c>
      <c r="C157" t="s">
        <v>5</v>
      </c>
      <c r="D157" s="2">
        <v>2</v>
      </c>
      <c r="E157" s="1">
        <v>0.25</v>
      </c>
      <c r="F157" s="4">
        <v>0.5</v>
      </c>
      <c r="G157">
        <f>VLOOKUP(B157,Calories!$A$1:$B$15,2,FALSE)</f>
        <v>480</v>
      </c>
    </row>
    <row r="158" spans="1:7" x14ac:dyDescent="0.25">
      <c r="A158" s="11">
        <v>43469</v>
      </c>
      <c r="B158" t="s">
        <v>9</v>
      </c>
      <c r="C158" t="s">
        <v>5</v>
      </c>
      <c r="D158" s="2">
        <v>5</v>
      </c>
      <c r="E158" s="1">
        <v>0.8</v>
      </c>
      <c r="F158" s="4">
        <v>4</v>
      </c>
      <c r="G158">
        <f>VLOOKUP(B158,Calories!$A$1:$B$15,2,FALSE)</f>
        <v>500</v>
      </c>
    </row>
    <row r="159" spans="1:7" x14ac:dyDescent="0.25">
      <c r="A159" s="11">
        <v>43469</v>
      </c>
      <c r="B159" t="s">
        <v>11</v>
      </c>
      <c r="C159" t="s">
        <v>16</v>
      </c>
      <c r="D159" s="2">
        <v>2.5</v>
      </c>
      <c r="E159" s="1">
        <v>0.8</v>
      </c>
      <c r="F159" s="4">
        <v>2</v>
      </c>
      <c r="G159">
        <f>VLOOKUP(B159,Calories!$A$1:$B$15,2,FALSE)</f>
        <v>120</v>
      </c>
    </row>
    <row r="160" spans="1:7" x14ac:dyDescent="0.25">
      <c r="A160" s="11">
        <v>43469</v>
      </c>
      <c r="B160" t="s">
        <v>6</v>
      </c>
      <c r="C160" t="s">
        <v>5</v>
      </c>
      <c r="D160" s="2">
        <v>3</v>
      </c>
      <c r="E160" s="1">
        <v>0.5</v>
      </c>
      <c r="F160" s="4">
        <v>1.5</v>
      </c>
      <c r="G160">
        <f>VLOOKUP(B160,Calories!$A$1:$B$15,2,FALSE)</f>
        <v>560</v>
      </c>
    </row>
    <row r="161" spans="1:7" x14ac:dyDescent="0.25">
      <c r="A161" s="11">
        <v>43469</v>
      </c>
      <c r="B161" t="s">
        <v>15</v>
      </c>
      <c r="C161" t="s">
        <v>17</v>
      </c>
      <c r="D161" s="2">
        <v>2</v>
      </c>
      <c r="E161" s="1">
        <v>0.5</v>
      </c>
      <c r="F161" s="4">
        <v>1</v>
      </c>
      <c r="G161">
        <f>VLOOKUP(B161,Calories!$A$1:$B$15,2,FALSE)</f>
        <v>300</v>
      </c>
    </row>
    <row r="162" spans="1:7" x14ac:dyDescent="0.25">
      <c r="A162" s="11">
        <v>43469</v>
      </c>
      <c r="B162" t="s">
        <v>6</v>
      </c>
      <c r="C162" t="s">
        <v>5</v>
      </c>
      <c r="D162" s="2">
        <v>3</v>
      </c>
      <c r="E162" s="1">
        <v>0.5</v>
      </c>
      <c r="F162" s="4">
        <v>1.5</v>
      </c>
      <c r="G162">
        <f>VLOOKUP(B162,Calories!$A$1:$B$15,2,FALSE)</f>
        <v>560</v>
      </c>
    </row>
    <row r="163" spans="1:7" x14ac:dyDescent="0.25">
      <c r="A163" s="11">
        <v>43469</v>
      </c>
      <c r="B163" t="s">
        <v>13</v>
      </c>
      <c r="C163" t="s">
        <v>17</v>
      </c>
      <c r="D163" s="2">
        <v>2</v>
      </c>
      <c r="E163" s="1">
        <v>0.5</v>
      </c>
      <c r="F163" s="4">
        <v>1</v>
      </c>
      <c r="G163">
        <f>VLOOKUP(B163,Calories!$A$1:$B$15,2,FALSE)</f>
        <v>280</v>
      </c>
    </row>
    <row r="164" spans="1:7" x14ac:dyDescent="0.25">
      <c r="A164" s="11">
        <v>43466</v>
      </c>
      <c r="B164" t="s">
        <v>20</v>
      </c>
      <c r="C164" t="s">
        <v>21</v>
      </c>
      <c r="D164" s="2">
        <v>3</v>
      </c>
      <c r="E164" s="1">
        <v>0.83333333333333337</v>
      </c>
      <c r="F164" s="4">
        <v>2.5</v>
      </c>
      <c r="G164">
        <f>VLOOKUP(B164,Calories!$A$1:$B$15,2,FALSE)</f>
        <v>150</v>
      </c>
    </row>
    <row r="165" spans="1:7" x14ac:dyDescent="0.25">
      <c r="A165" s="11">
        <v>43497</v>
      </c>
      <c r="B165" t="s">
        <v>9</v>
      </c>
      <c r="C165" t="s">
        <v>5</v>
      </c>
      <c r="D165" s="2">
        <v>5</v>
      </c>
      <c r="E165" s="1">
        <v>0.8</v>
      </c>
      <c r="F165" s="4">
        <v>4</v>
      </c>
      <c r="G165">
        <f>VLOOKUP(B165,Calories!$A$1:$B$15,2,FALSE)</f>
        <v>500</v>
      </c>
    </row>
    <row r="166" spans="1:7" x14ac:dyDescent="0.25">
      <c r="A166" s="11">
        <v>43470</v>
      </c>
      <c r="B166" t="s">
        <v>20</v>
      </c>
      <c r="C166" t="s">
        <v>21</v>
      </c>
      <c r="D166" s="2">
        <v>3</v>
      </c>
      <c r="E166" s="1">
        <v>0.83333333333333337</v>
      </c>
      <c r="F166" s="4">
        <v>2.5</v>
      </c>
      <c r="G166">
        <f>VLOOKUP(B166,Calories!$A$1:$B$15,2,FALSE)</f>
        <v>150</v>
      </c>
    </row>
    <row r="167" spans="1:7" x14ac:dyDescent="0.25">
      <c r="A167" s="11">
        <v>43471</v>
      </c>
      <c r="B167" t="s">
        <v>11</v>
      </c>
      <c r="C167" t="s">
        <v>16</v>
      </c>
      <c r="D167" s="2">
        <v>2.5</v>
      </c>
      <c r="E167" s="1">
        <v>0.8</v>
      </c>
      <c r="F167" s="4">
        <v>2</v>
      </c>
      <c r="G167">
        <f>VLOOKUP(B167,Calories!$A$1:$B$15,2,FALSE)</f>
        <v>120</v>
      </c>
    </row>
    <row r="168" spans="1:7" x14ac:dyDescent="0.25">
      <c r="A168" s="11">
        <v>43472</v>
      </c>
      <c r="B168" t="s">
        <v>14</v>
      </c>
      <c r="C168" t="s">
        <v>17</v>
      </c>
      <c r="D168" s="2">
        <v>2</v>
      </c>
      <c r="E168" s="1">
        <v>0.75</v>
      </c>
      <c r="F168" s="4">
        <v>1.5</v>
      </c>
      <c r="G168">
        <f>VLOOKUP(B168,Calories!$A$1:$B$15,2,FALSE)</f>
        <v>255</v>
      </c>
    </row>
    <row r="169" spans="1:7" x14ac:dyDescent="0.25">
      <c r="A169" s="11">
        <v>43473</v>
      </c>
      <c r="B169" t="s">
        <v>20</v>
      </c>
      <c r="C169" t="s">
        <v>21</v>
      </c>
      <c r="D169" s="2">
        <v>3</v>
      </c>
      <c r="E169" s="1">
        <v>0.83333333333333337</v>
      </c>
      <c r="F169" s="4">
        <v>2.5</v>
      </c>
      <c r="G169">
        <f>VLOOKUP(B169,Calories!$A$1:$B$15,2,FALSE)</f>
        <v>150</v>
      </c>
    </row>
    <row r="170" spans="1:7" x14ac:dyDescent="0.25">
      <c r="A170" s="11">
        <v>43474</v>
      </c>
      <c r="B170" t="s">
        <v>15</v>
      </c>
      <c r="C170" t="s">
        <v>17</v>
      </c>
      <c r="D170" s="2">
        <v>2</v>
      </c>
      <c r="E170" s="1">
        <v>0.5</v>
      </c>
      <c r="F170" s="4">
        <v>1</v>
      </c>
      <c r="G170">
        <f>VLOOKUP(B170,Calories!$A$1:$B$15,2,FALSE)</f>
        <v>300</v>
      </c>
    </row>
    <row r="171" spans="1:7" x14ac:dyDescent="0.25">
      <c r="A171" s="11">
        <v>43475</v>
      </c>
      <c r="B171" t="s">
        <v>14</v>
      </c>
      <c r="C171" t="s">
        <v>17</v>
      </c>
      <c r="D171" s="2">
        <v>2</v>
      </c>
      <c r="E171" s="1">
        <v>0.75</v>
      </c>
      <c r="F171" s="4">
        <v>1.5</v>
      </c>
      <c r="G171">
        <f>VLOOKUP(B171,Calories!$A$1:$B$15,2,FALSE)</f>
        <v>255</v>
      </c>
    </row>
    <row r="172" spans="1:7" x14ac:dyDescent="0.25">
      <c r="A172" s="11">
        <v>43476</v>
      </c>
      <c r="B172" t="s">
        <v>6</v>
      </c>
      <c r="C172" t="s">
        <v>5</v>
      </c>
      <c r="D172" s="2">
        <v>3</v>
      </c>
      <c r="E172" s="1">
        <v>0.5</v>
      </c>
      <c r="F172" s="4">
        <v>1.5</v>
      </c>
      <c r="G172">
        <f>VLOOKUP(B172,Calories!$A$1:$B$15,2,FALSE)</f>
        <v>560</v>
      </c>
    </row>
    <row r="173" spans="1:7" x14ac:dyDescent="0.25">
      <c r="A173" s="11">
        <v>43477</v>
      </c>
      <c r="B173" t="s">
        <v>13</v>
      </c>
      <c r="C173" t="s">
        <v>17</v>
      </c>
      <c r="D173" s="2">
        <v>2</v>
      </c>
      <c r="E173" s="1">
        <v>0.5</v>
      </c>
      <c r="F173" s="4">
        <v>1</v>
      </c>
      <c r="G173">
        <f>VLOOKUP(B173,Calories!$A$1:$B$15,2,FALSE)</f>
        <v>280</v>
      </c>
    </row>
    <row r="174" spans="1:7" x14ac:dyDescent="0.25">
      <c r="A174" s="11">
        <v>43478</v>
      </c>
      <c r="B174" t="s">
        <v>10</v>
      </c>
      <c r="C174" t="s">
        <v>16</v>
      </c>
      <c r="D174" s="2">
        <v>4</v>
      </c>
      <c r="E174" s="1">
        <v>0.5</v>
      </c>
      <c r="F174" s="4">
        <v>2</v>
      </c>
      <c r="G174">
        <f>VLOOKUP(B174,Calories!$A$1:$B$15,2,FALSE)</f>
        <v>200</v>
      </c>
    </row>
    <row r="175" spans="1:7" x14ac:dyDescent="0.25">
      <c r="A175" s="11">
        <v>43479</v>
      </c>
      <c r="B175" t="s">
        <v>20</v>
      </c>
      <c r="C175" t="s">
        <v>21</v>
      </c>
      <c r="D175" s="2">
        <v>3</v>
      </c>
      <c r="E175" s="1">
        <v>0.83333333333333337</v>
      </c>
      <c r="F175" s="4">
        <v>2.5</v>
      </c>
      <c r="G175">
        <f>VLOOKUP(B175,Calories!$A$1:$B$15,2,FALSE)</f>
        <v>150</v>
      </c>
    </row>
    <row r="176" spans="1:7" x14ac:dyDescent="0.25">
      <c r="A176" s="11">
        <v>43480</v>
      </c>
      <c r="B176" t="s">
        <v>20</v>
      </c>
      <c r="C176" t="s">
        <v>21</v>
      </c>
      <c r="D176" s="2">
        <v>3</v>
      </c>
      <c r="E176" s="1">
        <v>0.83333333333333337</v>
      </c>
      <c r="F176" s="4">
        <v>2.5</v>
      </c>
      <c r="G176">
        <f>VLOOKUP(B176,Calories!$A$1:$B$15,2,FALSE)</f>
        <v>150</v>
      </c>
    </row>
    <row r="177" spans="1:7" x14ac:dyDescent="0.25">
      <c r="A177" s="11">
        <v>43481</v>
      </c>
      <c r="B177" t="s">
        <v>20</v>
      </c>
      <c r="C177" t="s">
        <v>21</v>
      </c>
      <c r="D177" s="2">
        <v>3</v>
      </c>
      <c r="E177" s="1">
        <v>0.83333333333333337</v>
      </c>
      <c r="F177" s="4">
        <v>2.5</v>
      </c>
      <c r="G177">
        <f>VLOOKUP(B177,Calories!$A$1:$B$15,2,FALSE)</f>
        <v>150</v>
      </c>
    </row>
    <row r="178" spans="1:7" x14ac:dyDescent="0.25">
      <c r="A178" s="11">
        <v>43482</v>
      </c>
      <c r="B178" t="s">
        <v>10</v>
      </c>
      <c r="C178" t="s">
        <v>16</v>
      </c>
      <c r="D178" s="2">
        <v>4</v>
      </c>
      <c r="E178" s="1">
        <v>0.5</v>
      </c>
      <c r="F178" s="4">
        <v>2</v>
      </c>
      <c r="G178">
        <f>VLOOKUP(B178,Calories!$A$1:$B$15,2,FALSE)</f>
        <v>200</v>
      </c>
    </row>
    <row r="179" spans="1:7" x14ac:dyDescent="0.25">
      <c r="A179" s="11">
        <v>43483</v>
      </c>
      <c r="B179" t="s">
        <v>20</v>
      </c>
      <c r="C179" t="s">
        <v>21</v>
      </c>
      <c r="D179" s="2">
        <v>3</v>
      </c>
      <c r="E179" s="1">
        <v>0.83333333333333337</v>
      </c>
      <c r="F179" s="4">
        <v>2.5</v>
      </c>
      <c r="G179">
        <f>VLOOKUP(B179,Calories!$A$1:$B$15,2,FALSE)</f>
        <v>150</v>
      </c>
    </row>
    <row r="180" spans="1:7" x14ac:dyDescent="0.25">
      <c r="A180" s="11">
        <v>43484</v>
      </c>
      <c r="B180" t="s">
        <v>15</v>
      </c>
      <c r="C180" t="s">
        <v>17</v>
      </c>
      <c r="D180" s="2">
        <v>2</v>
      </c>
      <c r="E180" s="1">
        <v>0.5</v>
      </c>
      <c r="F180" s="4">
        <v>1</v>
      </c>
      <c r="G180">
        <f>VLOOKUP(B180,Calories!$A$1:$B$15,2,FALSE)</f>
        <v>300</v>
      </c>
    </row>
    <row r="181" spans="1:7" x14ac:dyDescent="0.25">
      <c r="A181" s="11">
        <v>43485</v>
      </c>
      <c r="B181" t="s">
        <v>7</v>
      </c>
      <c r="C181" t="s">
        <v>5</v>
      </c>
      <c r="D181" s="2">
        <v>2</v>
      </c>
      <c r="E181" s="1">
        <v>0.25</v>
      </c>
      <c r="F181" s="4">
        <v>0.5</v>
      </c>
      <c r="G181">
        <f>VLOOKUP(B181,Calories!$A$1:$B$15,2,FALSE)</f>
        <v>480</v>
      </c>
    </row>
    <row r="182" spans="1:7" x14ac:dyDescent="0.25">
      <c r="A182" s="11">
        <v>43486</v>
      </c>
      <c r="B182" t="s">
        <v>10</v>
      </c>
      <c r="C182" t="s">
        <v>16</v>
      </c>
      <c r="D182" s="2">
        <v>4</v>
      </c>
      <c r="E182" s="1">
        <v>0.5</v>
      </c>
      <c r="F182" s="4">
        <v>2</v>
      </c>
      <c r="G182">
        <f>VLOOKUP(B182,Calories!$A$1:$B$15,2,FALSE)</f>
        <v>200</v>
      </c>
    </row>
    <row r="183" spans="1:7" x14ac:dyDescent="0.25">
      <c r="A183" s="11">
        <v>43487</v>
      </c>
      <c r="B183" t="s">
        <v>9</v>
      </c>
      <c r="C183" t="s">
        <v>5</v>
      </c>
      <c r="D183" s="2">
        <v>5</v>
      </c>
      <c r="E183" s="1">
        <v>0.8</v>
      </c>
      <c r="F183" s="4">
        <v>4</v>
      </c>
      <c r="G183">
        <f>VLOOKUP(B183,Calories!$A$1:$B$15,2,FALSE)</f>
        <v>500</v>
      </c>
    </row>
    <row r="184" spans="1:7" x14ac:dyDescent="0.25">
      <c r="A184" s="11">
        <v>43488</v>
      </c>
      <c r="B184" t="s">
        <v>20</v>
      </c>
      <c r="C184" t="s">
        <v>21</v>
      </c>
      <c r="D184" s="2">
        <v>3</v>
      </c>
      <c r="E184" s="1">
        <v>0.83333333333333337</v>
      </c>
      <c r="F184" s="4">
        <v>2.5</v>
      </c>
      <c r="G184">
        <f>VLOOKUP(B184,Calories!$A$1:$B$15,2,FALSE)</f>
        <v>150</v>
      </c>
    </row>
    <row r="185" spans="1:7" x14ac:dyDescent="0.25">
      <c r="A185" s="11">
        <v>43489</v>
      </c>
      <c r="B185" t="s">
        <v>4</v>
      </c>
      <c r="C185" t="s">
        <v>5</v>
      </c>
      <c r="D185" s="2">
        <v>1.5</v>
      </c>
      <c r="E185" s="1">
        <v>0.66666666666666663</v>
      </c>
      <c r="F185" s="4">
        <v>1</v>
      </c>
      <c r="G185">
        <f>VLOOKUP(B185,Calories!$A$1:$B$15,2,FALSE)</f>
        <v>265</v>
      </c>
    </row>
    <row r="186" spans="1:7" x14ac:dyDescent="0.25">
      <c r="A186" s="11">
        <v>43490</v>
      </c>
      <c r="B186" t="s">
        <v>11</v>
      </c>
      <c r="C186" t="s">
        <v>16</v>
      </c>
      <c r="D186" s="2">
        <v>2.5</v>
      </c>
      <c r="E186" s="1">
        <v>0.8</v>
      </c>
      <c r="F186" s="4">
        <v>2</v>
      </c>
      <c r="G186">
        <f>VLOOKUP(B186,Calories!$A$1:$B$15,2,FALSE)</f>
        <v>120</v>
      </c>
    </row>
    <row r="187" spans="1:7" x14ac:dyDescent="0.25">
      <c r="A187" s="11">
        <v>43491</v>
      </c>
      <c r="B187" t="s">
        <v>13</v>
      </c>
      <c r="C187" t="s">
        <v>17</v>
      </c>
      <c r="D187" s="2">
        <v>2</v>
      </c>
      <c r="E187" s="1">
        <v>0.5</v>
      </c>
      <c r="F187" s="4">
        <v>1</v>
      </c>
      <c r="G187">
        <f>VLOOKUP(B187,Calories!$A$1:$B$15,2,FALSE)</f>
        <v>280</v>
      </c>
    </row>
    <row r="188" spans="1:7" x14ac:dyDescent="0.25">
      <c r="A188" s="11">
        <v>43492</v>
      </c>
      <c r="B188" t="s">
        <v>12</v>
      </c>
      <c r="C188" t="s">
        <v>16</v>
      </c>
      <c r="D188" s="2">
        <v>3</v>
      </c>
      <c r="E188" s="1">
        <v>0.83333333333333337</v>
      </c>
      <c r="F188" s="4">
        <v>2.5</v>
      </c>
      <c r="G188">
        <f>VLOOKUP(B188,Calories!$A$1:$B$15,2,FALSE)</f>
        <v>0</v>
      </c>
    </row>
    <row r="189" spans="1:7" x14ac:dyDescent="0.25">
      <c r="A189" s="11">
        <v>43493</v>
      </c>
      <c r="B189" t="s">
        <v>7</v>
      </c>
      <c r="C189" t="s">
        <v>5</v>
      </c>
      <c r="D189" s="2">
        <v>2</v>
      </c>
      <c r="E189" s="1">
        <v>0.25</v>
      </c>
      <c r="F189" s="4">
        <v>0.5</v>
      </c>
      <c r="G189">
        <f>VLOOKUP(B189,Calories!$A$1:$B$15,2,FALSE)</f>
        <v>480</v>
      </c>
    </row>
    <row r="190" spans="1:7" x14ac:dyDescent="0.25">
      <c r="A190" s="11">
        <v>43494</v>
      </c>
      <c r="B190" t="s">
        <v>20</v>
      </c>
      <c r="C190" t="s">
        <v>21</v>
      </c>
      <c r="D190" s="2">
        <v>3</v>
      </c>
      <c r="E190" s="1">
        <v>0.83333333333333337</v>
      </c>
      <c r="F190" s="4">
        <v>2.5</v>
      </c>
      <c r="G190">
        <f>VLOOKUP(B190,Calories!$A$1:$B$15,2,FALSE)</f>
        <v>150</v>
      </c>
    </row>
    <row r="191" spans="1:7" x14ac:dyDescent="0.25">
      <c r="A191" s="11">
        <v>43495</v>
      </c>
      <c r="B191" t="s">
        <v>15</v>
      </c>
      <c r="C191" t="s">
        <v>17</v>
      </c>
      <c r="D191" s="2">
        <v>2</v>
      </c>
      <c r="E191" s="1">
        <v>0.5</v>
      </c>
      <c r="F191" s="4">
        <v>1</v>
      </c>
      <c r="G191">
        <f>VLOOKUP(B191,Calories!$A$1:$B$15,2,FALSE)</f>
        <v>300</v>
      </c>
    </row>
    <row r="192" spans="1:7" x14ac:dyDescent="0.25">
      <c r="A192" s="11">
        <v>43496</v>
      </c>
      <c r="B192" t="s">
        <v>7</v>
      </c>
      <c r="C192" t="s">
        <v>5</v>
      </c>
      <c r="D192" s="2">
        <v>2</v>
      </c>
      <c r="E192" s="1">
        <v>0.25</v>
      </c>
      <c r="F192" s="4">
        <v>0.5</v>
      </c>
      <c r="G192">
        <f>VLOOKUP(B192,Calories!$A$1:$B$15,2,FALSE)</f>
        <v>480</v>
      </c>
    </row>
    <row r="193" spans="1:7" x14ac:dyDescent="0.25">
      <c r="A193" s="11">
        <v>43497</v>
      </c>
      <c r="B193" t="s">
        <v>12</v>
      </c>
      <c r="C193" t="s">
        <v>16</v>
      </c>
      <c r="D193" s="2">
        <v>3</v>
      </c>
      <c r="E193" s="1">
        <v>0.83333333333333337</v>
      </c>
      <c r="F193" s="4">
        <v>2.5</v>
      </c>
      <c r="G193">
        <f>VLOOKUP(B193,Calories!$A$1:$B$15,2,FALSE)</f>
        <v>0</v>
      </c>
    </row>
    <row r="194" spans="1:7" x14ac:dyDescent="0.25">
      <c r="A194" s="11">
        <v>43498</v>
      </c>
      <c r="B194" t="s">
        <v>9</v>
      </c>
      <c r="C194" t="s">
        <v>5</v>
      </c>
      <c r="D194" s="2">
        <v>5</v>
      </c>
      <c r="E194" s="1">
        <v>0.8</v>
      </c>
      <c r="F194" s="4">
        <v>4</v>
      </c>
      <c r="G194">
        <f>VLOOKUP(B194,Calories!$A$1:$B$15,2,FALSE)</f>
        <v>500</v>
      </c>
    </row>
    <row r="195" spans="1:7" x14ac:dyDescent="0.25">
      <c r="A195" s="11">
        <v>43499</v>
      </c>
      <c r="B195" t="s">
        <v>10</v>
      </c>
      <c r="C195" t="s">
        <v>16</v>
      </c>
      <c r="D195" s="2">
        <v>4</v>
      </c>
      <c r="E195" s="1">
        <v>0.5</v>
      </c>
      <c r="F195" s="4">
        <v>2</v>
      </c>
      <c r="G195">
        <f>VLOOKUP(B195,Calories!$A$1:$B$15,2,FALSE)</f>
        <v>200</v>
      </c>
    </row>
    <row r="196" spans="1:7" x14ac:dyDescent="0.25">
      <c r="A196" s="11">
        <v>43500</v>
      </c>
      <c r="B196" t="s">
        <v>7</v>
      </c>
      <c r="C196" t="s">
        <v>5</v>
      </c>
      <c r="D196" s="2">
        <v>2</v>
      </c>
      <c r="E196" s="1">
        <v>0.25</v>
      </c>
      <c r="F196" s="4">
        <v>0.5</v>
      </c>
      <c r="G196">
        <f>VLOOKUP(B196,Calories!$A$1:$B$15,2,FALSE)</f>
        <v>480</v>
      </c>
    </row>
    <row r="197" spans="1:7" x14ac:dyDescent="0.25">
      <c r="A197" s="11">
        <v>43501</v>
      </c>
      <c r="B197" t="s">
        <v>20</v>
      </c>
      <c r="C197" t="s">
        <v>21</v>
      </c>
      <c r="D197" s="2">
        <v>3</v>
      </c>
      <c r="E197" s="1">
        <v>0.83333333333333337</v>
      </c>
      <c r="F197" s="4">
        <v>2.5</v>
      </c>
      <c r="G197">
        <f>VLOOKUP(B197,Calories!$A$1:$B$15,2,FALSE)</f>
        <v>150</v>
      </c>
    </row>
    <row r="198" spans="1:7" x14ac:dyDescent="0.25">
      <c r="A198" s="11">
        <v>43502</v>
      </c>
      <c r="B198" t="s">
        <v>14</v>
      </c>
      <c r="C198" t="s">
        <v>17</v>
      </c>
      <c r="D198" s="2">
        <v>2</v>
      </c>
      <c r="E198" s="1">
        <v>0.75</v>
      </c>
      <c r="F198" s="4">
        <v>1.5</v>
      </c>
      <c r="G198">
        <f>VLOOKUP(B198,Calories!$A$1:$B$15,2,FALSE)</f>
        <v>255</v>
      </c>
    </row>
    <row r="199" spans="1:7" x14ac:dyDescent="0.25">
      <c r="A199" s="11">
        <v>43503</v>
      </c>
      <c r="B199" t="s">
        <v>12</v>
      </c>
      <c r="C199" t="s">
        <v>16</v>
      </c>
      <c r="D199" s="2">
        <v>3</v>
      </c>
      <c r="E199" s="1">
        <v>0.83333333333333337</v>
      </c>
      <c r="F199" s="4">
        <v>2.5</v>
      </c>
      <c r="G199">
        <f>VLOOKUP(B199,Calories!$A$1:$B$15,2,FALSE)</f>
        <v>0</v>
      </c>
    </row>
    <row r="200" spans="1:7" x14ac:dyDescent="0.25">
      <c r="A200" s="11">
        <v>43504</v>
      </c>
      <c r="B200" t="s">
        <v>20</v>
      </c>
      <c r="C200" t="s">
        <v>21</v>
      </c>
      <c r="D200" s="2">
        <v>3</v>
      </c>
      <c r="E200" s="1">
        <v>0.83333333333333337</v>
      </c>
      <c r="F200" s="4">
        <v>2.5</v>
      </c>
      <c r="G200">
        <f>VLOOKUP(B200,Calories!$A$1:$B$15,2,FALSE)</f>
        <v>150</v>
      </c>
    </row>
    <row r="201" spans="1:7" x14ac:dyDescent="0.25">
      <c r="D201" s="4"/>
      <c r="F201" s="4"/>
    </row>
  </sheetData>
  <conditionalFormatting sqref="F203:F1048576 F1:F201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activeCell="B18" sqref="B18"/>
    </sheetView>
  </sheetViews>
  <sheetFormatPr defaultColWidth="11" defaultRowHeight="15.75" x14ac:dyDescent="0.25"/>
  <cols>
    <col min="1" max="1" width="20.375" bestFit="1" customWidth="1"/>
  </cols>
  <sheetData>
    <row r="1" spans="1:2" x14ac:dyDescent="0.25">
      <c r="A1" t="s">
        <v>0</v>
      </c>
      <c r="B1" t="s">
        <v>25</v>
      </c>
    </row>
    <row r="2" spans="1:2" x14ac:dyDescent="0.25">
      <c r="A2" s="7" t="s">
        <v>10</v>
      </c>
      <c r="B2">
        <v>200</v>
      </c>
    </row>
    <row r="3" spans="1:2" x14ac:dyDescent="0.25">
      <c r="A3" s="7" t="s">
        <v>12</v>
      </c>
      <c r="B3">
        <v>0</v>
      </c>
    </row>
    <row r="4" spans="1:2" x14ac:dyDescent="0.25">
      <c r="A4" s="7" t="s">
        <v>14</v>
      </c>
      <c r="B4">
        <v>255</v>
      </c>
    </row>
    <row r="5" spans="1:2" x14ac:dyDescent="0.25">
      <c r="A5" s="7" t="s">
        <v>19</v>
      </c>
      <c r="B5">
        <v>300</v>
      </c>
    </row>
    <row r="6" spans="1:2" x14ac:dyDescent="0.25">
      <c r="A6" s="7" t="s">
        <v>15</v>
      </c>
      <c r="B6">
        <v>300</v>
      </c>
    </row>
    <row r="7" spans="1:2" x14ac:dyDescent="0.25">
      <c r="A7" s="7" t="s">
        <v>8</v>
      </c>
      <c r="B7">
        <v>320</v>
      </c>
    </row>
    <row r="8" spans="1:2" x14ac:dyDescent="0.25">
      <c r="A8" s="7" t="s">
        <v>4</v>
      </c>
      <c r="B8">
        <v>265</v>
      </c>
    </row>
    <row r="9" spans="1:2" x14ac:dyDescent="0.25">
      <c r="A9" s="7" t="s">
        <v>18</v>
      </c>
      <c r="B9">
        <v>240</v>
      </c>
    </row>
    <row r="10" spans="1:2" x14ac:dyDescent="0.25">
      <c r="A10" s="7" t="s">
        <v>13</v>
      </c>
      <c r="B10">
        <v>280</v>
      </c>
    </row>
    <row r="11" spans="1:2" x14ac:dyDescent="0.25">
      <c r="A11" s="7" t="s">
        <v>6</v>
      </c>
      <c r="B11">
        <v>560</v>
      </c>
    </row>
    <row r="12" spans="1:2" x14ac:dyDescent="0.25">
      <c r="A12" s="7" t="s">
        <v>7</v>
      </c>
      <c r="B12">
        <v>480</v>
      </c>
    </row>
    <row r="13" spans="1:2" x14ac:dyDescent="0.25">
      <c r="A13" s="7" t="s">
        <v>9</v>
      </c>
      <c r="B13">
        <v>500</v>
      </c>
    </row>
    <row r="14" spans="1:2" x14ac:dyDescent="0.25">
      <c r="A14" s="7" t="s">
        <v>20</v>
      </c>
      <c r="B14">
        <v>150</v>
      </c>
    </row>
    <row r="15" spans="1:2" x14ac:dyDescent="0.25">
      <c r="A15" s="7" t="s">
        <v>11</v>
      </c>
      <c r="B15">
        <v>120</v>
      </c>
    </row>
    <row r="18" spans="1:2" x14ac:dyDescent="0.25">
      <c r="A18" s="8" t="s">
        <v>30</v>
      </c>
      <c r="B18">
        <f>MATCH("Hamburger",A2:A15,0)</f>
        <v>6</v>
      </c>
    </row>
    <row r="19" spans="1:2" x14ac:dyDescent="0.25">
      <c r="A19" s="8" t="s">
        <v>31</v>
      </c>
      <c r="B19">
        <f>INDEX(A1:B15,3,2)</f>
        <v>0</v>
      </c>
    </row>
    <row r="20" spans="1:2" x14ac:dyDescent="0.25">
      <c r="A20" s="8" t="s">
        <v>32</v>
      </c>
      <c r="B20" t="str">
        <f ca="1">OFFSET(A1,3,0)</f>
        <v>Chocolate Bar</v>
      </c>
    </row>
    <row r="21" spans="1:2" x14ac:dyDescent="0.25">
      <c r="A21" s="8" t="s">
        <v>33</v>
      </c>
      <c r="B21">
        <f>SMALL(B2:B15,3)</f>
        <v>150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9"/>
  <sheetViews>
    <sheetView workbookViewId="0">
      <selection activeCell="E25" sqref="E25"/>
    </sheetView>
  </sheetViews>
  <sheetFormatPr defaultColWidth="11" defaultRowHeight="15.75" x14ac:dyDescent="0.25"/>
  <cols>
    <col min="1" max="1" width="20.375" bestFit="1" customWidth="1"/>
    <col min="2" max="2" width="5.375" bestFit="1" customWidth="1"/>
    <col min="3" max="3" width="6.375" bestFit="1" customWidth="1"/>
    <col min="4" max="4" width="12.375" bestFit="1" customWidth="1"/>
    <col min="5" max="5" width="8.625" bestFit="1" customWidth="1"/>
  </cols>
  <sheetData>
    <row r="3" spans="1:2" x14ac:dyDescent="0.25">
      <c r="A3" s="5" t="s">
        <v>26</v>
      </c>
    </row>
    <row r="4" spans="1:2" x14ac:dyDescent="0.25">
      <c r="A4" s="5" t="s">
        <v>23</v>
      </c>
      <c r="B4" t="s">
        <v>29</v>
      </c>
    </row>
    <row r="5" spans="1:2" x14ac:dyDescent="0.25">
      <c r="A5" s="6" t="s">
        <v>10</v>
      </c>
      <c r="B5">
        <v>80</v>
      </c>
    </row>
    <row r="6" spans="1:2" x14ac:dyDescent="0.25">
      <c r="A6" s="6" t="s">
        <v>12</v>
      </c>
      <c r="B6">
        <v>39</v>
      </c>
    </row>
    <row r="7" spans="1:2" x14ac:dyDescent="0.25">
      <c r="A7" s="6" t="s">
        <v>14</v>
      </c>
      <c r="B7">
        <v>26</v>
      </c>
    </row>
    <row r="8" spans="1:2" x14ac:dyDescent="0.25">
      <c r="A8" s="6" t="s">
        <v>19</v>
      </c>
      <c r="B8">
        <v>33</v>
      </c>
    </row>
    <row r="9" spans="1:2" x14ac:dyDescent="0.25">
      <c r="A9" s="6" t="s">
        <v>15</v>
      </c>
      <c r="B9">
        <v>28</v>
      </c>
    </row>
    <row r="10" spans="1:2" x14ac:dyDescent="0.25">
      <c r="A10" s="6" t="s">
        <v>8</v>
      </c>
      <c r="B10">
        <v>48</v>
      </c>
    </row>
    <row r="11" spans="1:2" x14ac:dyDescent="0.25">
      <c r="A11" s="6" t="s">
        <v>4</v>
      </c>
      <c r="B11">
        <v>22.5</v>
      </c>
    </row>
    <row r="12" spans="1:2" x14ac:dyDescent="0.25">
      <c r="A12" s="6" t="s">
        <v>18</v>
      </c>
      <c r="B12">
        <v>30</v>
      </c>
    </row>
    <row r="13" spans="1:2" x14ac:dyDescent="0.25">
      <c r="A13" s="6" t="s">
        <v>13</v>
      </c>
      <c r="B13">
        <v>26</v>
      </c>
    </row>
    <row r="14" spans="1:2" x14ac:dyDescent="0.25">
      <c r="A14" s="6" t="s">
        <v>6</v>
      </c>
      <c r="B14">
        <v>45</v>
      </c>
    </row>
    <row r="15" spans="1:2" x14ac:dyDescent="0.25">
      <c r="A15" s="6" t="s">
        <v>7</v>
      </c>
      <c r="B15">
        <v>34</v>
      </c>
    </row>
    <row r="16" spans="1:2" x14ac:dyDescent="0.25">
      <c r="A16" s="6" t="s">
        <v>9</v>
      </c>
      <c r="B16">
        <v>80</v>
      </c>
    </row>
    <row r="17" spans="1:2" x14ac:dyDescent="0.25">
      <c r="A17" s="6" t="s">
        <v>20</v>
      </c>
      <c r="B17">
        <v>39</v>
      </c>
    </row>
    <row r="18" spans="1:2" x14ac:dyDescent="0.25">
      <c r="A18" s="6" t="s">
        <v>11</v>
      </c>
      <c r="B18">
        <v>32.5</v>
      </c>
    </row>
    <row r="19" spans="1:2" x14ac:dyDescent="0.25">
      <c r="A19" s="6" t="s">
        <v>24</v>
      </c>
      <c r="B19">
        <v>563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"/>
  <sheetViews>
    <sheetView workbookViewId="0"/>
  </sheetViews>
  <sheetFormatPr defaultColWidth="11" defaultRowHeight="15.75" x14ac:dyDescent="0.25"/>
  <sheetData>
    <row r="1" spans="1:15" x14ac:dyDescent="0.25">
      <c r="A1" t="s">
        <v>0</v>
      </c>
      <c r="B1" t="s">
        <v>10</v>
      </c>
      <c r="C1" t="s">
        <v>12</v>
      </c>
      <c r="D1" t="s">
        <v>14</v>
      </c>
      <c r="E1" t="s">
        <v>19</v>
      </c>
      <c r="F1" t="s">
        <v>15</v>
      </c>
      <c r="G1" t="s">
        <v>8</v>
      </c>
      <c r="H1" t="s">
        <v>4</v>
      </c>
      <c r="I1" t="s">
        <v>18</v>
      </c>
      <c r="J1" t="s">
        <v>13</v>
      </c>
      <c r="K1" t="s">
        <v>6</v>
      </c>
      <c r="L1" t="s">
        <v>7</v>
      </c>
      <c r="M1" t="s">
        <v>9</v>
      </c>
      <c r="N1" t="s">
        <v>20</v>
      </c>
      <c r="O1" t="s">
        <v>11</v>
      </c>
    </row>
    <row r="2" spans="1:15" x14ac:dyDescent="0.25">
      <c r="A2" t="s">
        <v>27</v>
      </c>
      <c r="B2" s="1">
        <v>0.15</v>
      </c>
      <c r="C2" s="1">
        <v>0.05</v>
      </c>
      <c r="D2" s="1">
        <v>0.15</v>
      </c>
      <c r="E2" s="1">
        <v>0.15</v>
      </c>
      <c r="F2" s="1">
        <v>0.15</v>
      </c>
      <c r="G2" s="1">
        <v>0.05</v>
      </c>
      <c r="H2" s="1">
        <v>0.05</v>
      </c>
      <c r="I2" s="1">
        <v>0.15</v>
      </c>
      <c r="J2" s="1">
        <v>0.15</v>
      </c>
      <c r="K2" s="1">
        <v>0.05</v>
      </c>
      <c r="L2" s="1">
        <v>0.05</v>
      </c>
      <c r="M2" s="1">
        <v>0.05</v>
      </c>
      <c r="N2" s="1">
        <v>0.15</v>
      </c>
      <c r="O2" s="1">
        <v>0.15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>
      <selection activeCell="E15" sqref="E15"/>
    </sheetView>
  </sheetViews>
  <sheetFormatPr defaultColWidth="11" defaultRowHeight="15.75" x14ac:dyDescent="0.25"/>
  <cols>
    <col min="1" max="1" width="20.375" bestFit="1" customWidth="1"/>
  </cols>
  <sheetData>
    <row r="1" spans="1:4" x14ac:dyDescent="0.25">
      <c r="A1" t="s">
        <v>23</v>
      </c>
      <c r="B1" t="s">
        <v>26</v>
      </c>
      <c r="D1" t="s">
        <v>28</v>
      </c>
    </row>
    <row r="2" spans="1:4" x14ac:dyDescent="0.25">
      <c r="A2" t="s">
        <v>10</v>
      </c>
      <c r="B2">
        <v>80</v>
      </c>
      <c r="D2">
        <f t="array" ref="D2">SUMPRODUCT(B2:B15,TRANSPOSE('Fee Schedule'!B2:O2))</f>
        <v>57.6</v>
      </c>
    </row>
    <row r="3" spans="1:4" x14ac:dyDescent="0.25">
      <c r="A3" t="s">
        <v>12</v>
      </c>
      <c r="B3">
        <v>39</v>
      </c>
    </row>
    <row r="4" spans="1:4" x14ac:dyDescent="0.25">
      <c r="A4" t="s">
        <v>14</v>
      </c>
      <c r="B4">
        <v>26</v>
      </c>
    </row>
    <row r="5" spans="1:4" x14ac:dyDescent="0.25">
      <c r="A5" t="s">
        <v>19</v>
      </c>
      <c r="B5">
        <v>33</v>
      </c>
    </row>
    <row r="6" spans="1:4" x14ac:dyDescent="0.25">
      <c r="A6" t="s">
        <v>15</v>
      </c>
      <c r="B6">
        <v>28</v>
      </c>
    </row>
    <row r="7" spans="1:4" x14ac:dyDescent="0.25">
      <c r="A7" t="s">
        <v>8</v>
      </c>
      <c r="B7">
        <v>48</v>
      </c>
    </row>
    <row r="8" spans="1:4" x14ac:dyDescent="0.25">
      <c r="A8" t="s">
        <v>4</v>
      </c>
      <c r="B8">
        <v>22.5</v>
      </c>
    </row>
    <row r="9" spans="1:4" x14ac:dyDescent="0.25">
      <c r="A9" t="s">
        <v>18</v>
      </c>
      <c r="B9">
        <v>30</v>
      </c>
    </row>
    <row r="10" spans="1:4" x14ac:dyDescent="0.25">
      <c r="A10" t="s">
        <v>13</v>
      </c>
      <c r="B10">
        <v>26</v>
      </c>
    </row>
    <row r="11" spans="1:4" x14ac:dyDescent="0.25">
      <c r="A11" t="s">
        <v>6</v>
      </c>
      <c r="B11">
        <v>45</v>
      </c>
    </row>
    <row r="12" spans="1:4" x14ac:dyDescent="0.25">
      <c r="A12" t="s">
        <v>7</v>
      </c>
      <c r="B12">
        <v>34</v>
      </c>
    </row>
    <row r="13" spans="1:4" x14ac:dyDescent="0.25">
      <c r="A13" t="s">
        <v>9</v>
      </c>
      <c r="B13">
        <v>80</v>
      </c>
    </row>
    <row r="14" spans="1:4" x14ac:dyDescent="0.25">
      <c r="A14" t="s">
        <v>20</v>
      </c>
      <c r="B14">
        <v>39</v>
      </c>
    </row>
    <row r="15" spans="1:4" x14ac:dyDescent="0.25">
      <c r="A15" t="s">
        <v>11</v>
      </c>
      <c r="B15">
        <v>32.5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"/>
  <sheetViews>
    <sheetView workbookViewId="0">
      <selection activeCell="F23" sqref="F23"/>
    </sheetView>
  </sheetViews>
  <sheetFormatPr defaultColWidth="11" defaultRowHeight="15.75" x14ac:dyDescent="0.25"/>
  <cols>
    <col min="1" max="1" width="20.375" bestFit="1" customWidth="1"/>
    <col min="2" max="2" width="12.875" bestFit="1" customWidth="1"/>
    <col min="4" max="4" width="12.375" customWidth="1"/>
    <col min="5" max="5" width="16.875" bestFit="1" customWidth="1"/>
  </cols>
  <sheetData>
    <row r="1" spans="1:3" x14ac:dyDescent="0.25">
      <c r="A1" t="s">
        <v>0</v>
      </c>
      <c r="B1" t="s">
        <v>25</v>
      </c>
      <c r="C1" s="9" t="s">
        <v>34</v>
      </c>
    </row>
    <row r="2" spans="1:3" x14ac:dyDescent="0.25">
      <c r="A2" s="7" t="s">
        <v>10</v>
      </c>
      <c r="B2">
        <v>200</v>
      </c>
      <c r="C2" s="9">
        <v>0</v>
      </c>
    </row>
    <row r="3" spans="1:3" x14ac:dyDescent="0.25">
      <c r="A3" s="7" t="s">
        <v>12</v>
      </c>
      <c r="B3">
        <v>0</v>
      </c>
      <c r="C3" s="9">
        <v>0</v>
      </c>
    </row>
    <row r="4" spans="1:3" x14ac:dyDescent="0.25">
      <c r="A4" s="7" t="s">
        <v>14</v>
      </c>
      <c r="B4">
        <v>255</v>
      </c>
      <c r="C4" s="9">
        <v>0</v>
      </c>
    </row>
    <row r="5" spans="1:3" x14ac:dyDescent="0.25">
      <c r="A5" s="7" t="s">
        <v>19</v>
      </c>
      <c r="B5">
        <v>300</v>
      </c>
      <c r="C5" s="9">
        <v>0</v>
      </c>
    </row>
    <row r="6" spans="1:3" x14ac:dyDescent="0.25">
      <c r="A6" s="7" t="s">
        <v>15</v>
      </c>
      <c r="B6">
        <v>300</v>
      </c>
      <c r="C6" s="9">
        <v>0</v>
      </c>
    </row>
    <row r="7" spans="1:3" x14ac:dyDescent="0.25">
      <c r="A7" s="7" t="s">
        <v>8</v>
      </c>
      <c r="B7">
        <v>320</v>
      </c>
      <c r="C7" s="9">
        <v>0</v>
      </c>
    </row>
    <row r="8" spans="1:3" x14ac:dyDescent="0.25">
      <c r="A8" s="7" t="s">
        <v>4</v>
      </c>
      <c r="B8">
        <v>265</v>
      </c>
      <c r="C8" s="9">
        <v>0</v>
      </c>
    </row>
    <row r="9" spans="1:3" x14ac:dyDescent="0.25">
      <c r="A9" s="7" t="s">
        <v>18</v>
      </c>
      <c r="B9">
        <v>240</v>
      </c>
      <c r="C9" s="9">
        <v>0</v>
      </c>
    </row>
    <row r="10" spans="1:3" x14ac:dyDescent="0.25">
      <c r="A10" s="7" t="s">
        <v>13</v>
      </c>
      <c r="B10">
        <v>280</v>
      </c>
      <c r="C10" s="9">
        <v>1</v>
      </c>
    </row>
    <row r="11" spans="1:3" x14ac:dyDescent="0.25">
      <c r="A11" s="7" t="s">
        <v>6</v>
      </c>
      <c r="B11">
        <v>560</v>
      </c>
      <c r="C11" s="9">
        <v>2</v>
      </c>
    </row>
    <row r="12" spans="1:3" x14ac:dyDescent="0.25">
      <c r="A12" s="7" t="s">
        <v>7</v>
      </c>
      <c r="B12">
        <v>480</v>
      </c>
      <c r="C12" s="9">
        <v>0</v>
      </c>
    </row>
    <row r="13" spans="1:3" x14ac:dyDescent="0.25">
      <c r="A13" s="7" t="s">
        <v>9</v>
      </c>
      <c r="B13">
        <v>500</v>
      </c>
      <c r="C13" s="9">
        <v>2</v>
      </c>
    </row>
    <row r="14" spans="1:3" x14ac:dyDescent="0.25">
      <c r="A14" s="7" t="s">
        <v>20</v>
      </c>
      <c r="B14">
        <v>150</v>
      </c>
      <c r="C14" s="9">
        <v>0</v>
      </c>
    </row>
    <row r="15" spans="1:3" x14ac:dyDescent="0.25">
      <c r="A15" s="7" t="s">
        <v>11</v>
      </c>
      <c r="B15">
        <v>120</v>
      </c>
      <c r="C15" s="9">
        <v>0</v>
      </c>
    </row>
    <row r="16" spans="1:3" x14ac:dyDescent="0.25">
      <c r="B16" s="9" t="s">
        <v>35</v>
      </c>
      <c r="C16" s="10">
        <f>SUM(C2:C15)</f>
        <v>5</v>
      </c>
    </row>
    <row r="17" spans="1:3" x14ac:dyDescent="0.25">
      <c r="B17" s="9" t="s">
        <v>36</v>
      </c>
      <c r="C17" s="10">
        <f>SUMPRODUCT(B2:B15,C2:C15)</f>
        <v>2400</v>
      </c>
    </row>
    <row r="18" spans="1:3" x14ac:dyDescent="0.25">
      <c r="A18" s="8"/>
    </row>
    <row r="19" spans="1:3" x14ac:dyDescent="0.25">
      <c r="A19" s="8"/>
    </row>
    <row r="20" spans="1:3" x14ac:dyDescent="0.25">
      <c r="A20" s="8"/>
    </row>
    <row r="21" spans="1:3" x14ac:dyDescent="0.25">
      <c r="A21" s="8"/>
    </row>
  </sheetData>
  <pageMargins left="0.75" right="0.75" top="1" bottom="1" header="0.5" footer="0.5"/>
  <pageSetup orientation="portrait" horizontalDpi="4294967292" verticalDpi="4294967292"/>
  <ignoredErrors>
    <ignoredError sqref="C16:C17" emptyCellReference="1"/>
  </ignoredError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Basketball Game Sales</vt:lpstr>
      <vt:lpstr>Calories</vt:lpstr>
      <vt:lpstr>Pivot</vt:lpstr>
      <vt:lpstr>Fee Schedule</vt:lpstr>
      <vt:lpstr>Revenue By Item</vt:lpstr>
      <vt:lpstr>Calories-Solver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Foreman</dc:creator>
  <cp:lastModifiedBy>Wade Eckert</cp:lastModifiedBy>
  <dcterms:created xsi:type="dcterms:W3CDTF">2013-01-21T18:22:23Z</dcterms:created>
  <dcterms:modified xsi:type="dcterms:W3CDTF">2025-04-27T06:05:40Z</dcterms:modified>
</cp:coreProperties>
</file>