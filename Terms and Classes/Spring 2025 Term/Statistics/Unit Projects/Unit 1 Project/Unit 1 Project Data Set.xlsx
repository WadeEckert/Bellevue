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F5B0A9AF-FCF6-4312-AF3C-8F1EB524FA8A}" xr6:coauthVersionLast="47" xr6:coauthVersionMax="47" xr10:uidLastSave="{00000000-0000-0000-0000-000000000000}"/>
  <bookViews>
    <workbookView xWindow="-120" yWindow="-120" windowWidth="29040" windowHeight="15840" activeTab="1" xr2:uid="{16229CF9-3D88-49EA-A26D-B581AE10A87A}"/>
  </bookViews>
  <sheets>
    <sheet name="Data Sets" sheetId="1" r:id="rId1"/>
    <sheet name="Sheet1" sheetId="2" r:id="rId2"/>
    <sheet name="Sheet2" sheetId="3" r:id="rId3"/>
    <sheet name="Sheet4" sheetId="5" r:id="rId4"/>
    <sheet name="Sheet7" sheetId="9" r:id="rId5"/>
    <sheet name="Sheet8" sheetId="10" r:id="rId6"/>
    <sheet name="Chart1" sheetId="6" r:id="rId7"/>
  </sheets>
  <definedNames>
    <definedName name="_xlchart.v1.0" hidden="1">'Data Sets'!$H$1</definedName>
    <definedName name="_xlchart.v1.1" hidden="1">'Data Sets'!$H$2:$H$78</definedName>
    <definedName name="_xlchart.v1.2" hidden="1">'Data Sets'!$L$1</definedName>
    <definedName name="_xlchart.v1.3" hidden="1">'Data Sets'!$L$2:$L$78</definedName>
    <definedName name="_xlchart.v1.4" hidden="1">'Data Sets'!$H$1</definedName>
    <definedName name="_xlchart.v1.5" hidden="1">'Data Sets'!$H$2:$H$78</definedName>
    <definedName name="_xlchart.v1.6" hidden="1">'Data Sets'!$L$1</definedName>
    <definedName name="_xlchart.v1.7" hidden="1">'Data Sets'!$L$2:$L$78</definedName>
  </definedNames>
  <calcPr calcId="191029"/>
  <pivotCaches>
    <pivotCache cacheId="5" r:id="rId8"/>
    <pivotCache cacheId="9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2" l="1"/>
  <c r="D10" i="2"/>
</calcChain>
</file>

<file path=xl/sharedStrings.xml><?xml version="1.0" encoding="utf-8"?>
<sst xmlns="http://schemas.openxmlformats.org/spreadsheetml/2006/main" count="385" uniqueCount="126">
  <si>
    <t>Shelf</t>
  </si>
  <si>
    <t>Name</t>
  </si>
  <si>
    <t>Manufacturer</t>
  </si>
  <si>
    <t>Type</t>
  </si>
  <si>
    <t>Top</t>
  </si>
  <si>
    <t>100%_Bran</t>
  </si>
  <si>
    <t>C</t>
  </si>
  <si>
    <t>100%_Natural_Bran</t>
  </si>
  <si>
    <t>All-Bran</t>
  </si>
  <si>
    <t>All-Bran_with_Extra_Fiber</t>
  </si>
  <si>
    <t>Almond_Delight</t>
  </si>
  <si>
    <t>Bottom</t>
  </si>
  <si>
    <t>Apple_Cinnamon_Cheerios</t>
  </si>
  <si>
    <t>Middle</t>
  </si>
  <si>
    <t>Apple_Jacks</t>
  </si>
  <si>
    <t>Basic_4</t>
  </si>
  <si>
    <t>Bran_Chex</t>
  </si>
  <si>
    <t>Bran_Flakes</t>
  </si>
  <si>
    <t>Cap'n'Crunch</t>
  </si>
  <si>
    <t>Cheerios</t>
  </si>
  <si>
    <t>Cinnamon_Toast_Crunch</t>
  </si>
  <si>
    <t>Clusters</t>
  </si>
  <si>
    <t>Cocoa_Puffs</t>
  </si>
  <si>
    <t>Corn_Chex</t>
  </si>
  <si>
    <t>Corn_Flakes</t>
  </si>
  <si>
    <t>Corn_Pops</t>
  </si>
  <si>
    <t>Count_Chocula</t>
  </si>
  <si>
    <t>Cracklin'_Oat_Bran</t>
  </si>
  <si>
    <t>Cream_of_Wheat_(Quick)</t>
  </si>
  <si>
    <t>H</t>
  </si>
  <si>
    <t>Crispix</t>
  </si>
  <si>
    <t>Crispy_Wheat_&amp;_Raisins</t>
  </si>
  <si>
    <t>Double_Chex</t>
  </si>
  <si>
    <t>Froot_Loops</t>
  </si>
  <si>
    <t>Frosted_Flakes</t>
  </si>
  <si>
    <t>Frosted_Mini-Wheats</t>
  </si>
  <si>
    <t>Fruit_&amp;_Fibre_Dates,_Walnuts,_and_Oats</t>
  </si>
  <si>
    <t>Fruitful_Bran</t>
  </si>
  <si>
    <t>Fruity_Pebbles</t>
  </si>
  <si>
    <t>Golden_Crisp</t>
  </si>
  <si>
    <t>Golden_Grahams</t>
  </si>
  <si>
    <t>Grape_Nuts_Flakes</t>
  </si>
  <si>
    <t>Grape-Nuts</t>
  </si>
  <si>
    <t>Great_Grains_Pecan</t>
  </si>
  <si>
    <t>Honey_Graham_Ohs</t>
  </si>
  <si>
    <t>Honey_Nut_Cheerios</t>
  </si>
  <si>
    <t>Honey-comb</t>
  </si>
  <si>
    <t>Just_Right_Crunchy__Nuggets</t>
  </si>
  <si>
    <t>Just_Right_Fruit_&amp;_Nut</t>
  </si>
  <si>
    <t>Kix</t>
  </si>
  <si>
    <t>Life</t>
  </si>
  <si>
    <t>Lucky_Charms</t>
  </si>
  <si>
    <t>Maypo</t>
  </si>
  <si>
    <t>Muesli_Raisins,_Dates,_&amp;_Almonds</t>
  </si>
  <si>
    <t>Muesli_Raisins,_Peaches,_&amp;_Pecans</t>
  </si>
  <si>
    <t>Mueslix_Crispy_Blend</t>
  </si>
  <si>
    <t>Multi-Grain_Cheerios</t>
  </si>
  <si>
    <t>Nut&amp;Honey_Crunch</t>
  </si>
  <si>
    <t>Nutri-Grain_Almond-Raisin</t>
  </si>
  <si>
    <t>Nutri-grain_Wheat</t>
  </si>
  <si>
    <t>Oatmeal_Raisin_Crisp</t>
  </si>
  <si>
    <t>Post_Nat._Raisin_Bran</t>
  </si>
  <si>
    <t>Product_19</t>
  </si>
  <si>
    <t>Puffed_Rice</t>
  </si>
  <si>
    <t>Puffed_Wheat</t>
  </si>
  <si>
    <t>Quaker_Oat_Squares</t>
  </si>
  <si>
    <t>Quaker_Oatmeal</t>
  </si>
  <si>
    <t>Raisin_Bran</t>
  </si>
  <si>
    <t>Raisin_Nut_Bran</t>
  </si>
  <si>
    <t>Raisin_Squares</t>
  </si>
  <si>
    <t>Rice_Chex</t>
  </si>
  <si>
    <t>Rice_Krispies</t>
  </si>
  <si>
    <t>Shredded_Wheat</t>
  </si>
  <si>
    <t>Shredded_Wheat_'n'Bran</t>
  </si>
  <si>
    <t>Shredded_Wheat_spoon_size</t>
  </si>
  <si>
    <t>Smacks</t>
  </si>
  <si>
    <t>Special_K</t>
  </si>
  <si>
    <t>Strawberry_Fruit_Wheats</t>
  </si>
  <si>
    <t>Total_Corn_Flakes</t>
  </si>
  <si>
    <t>Total_Raisin_Bran</t>
  </si>
  <si>
    <t>Total_Whole_Grain</t>
  </si>
  <si>
    <t>Triples</t>
  </si>
  <si>
    <t>Trix</t>
  </si>
  <si>
    <t>Wheat_Chex</t>
  </si>
  <si>
    <t>Wheaties</t>
  </si>
  <si>
    <t>Wheaties_Honey_Gold</t>
  </si>
  <si>
    <t>Calories (count)</t>
  </si>
  <si>
    <t>Protein (g)</t>
  </si>
  <si>
    <t>Fat (g)</t>
  </si>
  <si>
    <t>Sodium (mg)</t>
  </si>
  <si>
    <t>Fiber (g)</t>
  </si>
  <si>
    <t>Carbohydrates (g)</t>
  </si>
  <si>
    <t>Sugars (g)</t>
  </si>
  <si>
    <t>Potassium (mg)</t>
  </si>
  <si>
    <t>Vitamins (%)</t>
  </si>
  <si>
    <t>Nabisco</t>
  </si>
  <si>
    <t>Quaker Oats</t>
  </si>
  <si>
    <t>Kellog</t>
  </si>
  <si>
    <t>Ralston</t>
  </si>
  <si>
    <t>General Mills</t>
  </si>
  <si>
    <t>Post</t>
  </si>
  <si>
    <t>American</t>
  </si>
  <si>
    <t>Grand Total</t>
  </si>
  <si>
    <t>0-49</t>
  </si>
  <si>
    <t>50-99</t>
  </si>
  <si>
    <t>100-149</t>
  </si>
  <si>
    <t>150-199</t>
  </si>
  <si>
    <t>200-249</t>
  </si>
  <si>
    <t>250-299</t>
  </si>
  <si>
    <t>Count</t>
  </si>
  <si>
    <t>300-349</t>
  </si>
  <si>
    <t>Relative Frequency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</si>
  <si>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</si>
  <si>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</si>
  <si>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</si>
  <si>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</si>
  <si>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</si>
  <si>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</si>
  <si>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</si>
  <si>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</si>
  <si>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</si>
  <si>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</si>
  <si>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</si>
  <si>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</si>
  <si>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Midpoins</t>
  </si>
  <si>
    <t>Midpoint *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</si>
</sst>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Continuous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1 Project Data Set.xlsx]Sheet1!PivotTable1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Potassium</a:t>
            </a:r>
            <a:r>
              <a:rPr lang="en-US" baseline="0"/>
              <a:t> (mg) in Breakfast Cereal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>
            <a:solidFill>
              <a:schemeClr val="accen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93E-4461-AF1F-96C0793EC39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93E-4461-AF1F-96C0793EC39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93E-4461-AF1F-96C0793EC39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93E-4461-AF1F-96C0793EC39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C93E-4461-AF1F-96C0793EC39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93E-4461-AF1F-96C0793EC39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accen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C93E-4461-AF1F-96C0793EC392}"/>
              </c:ext>
            </c:extLst>
          </c:dPt>
          <c:cat>
            <c:strRef>
              <c:f>Sheet1!$A$2:$A$9</c:f>
              <c:strCache>
                <c:ptCount val="7"/>
                <c:pt idx="0">
                  <c:v>0-49</c:v>
                </c:pt>
                <c:pt idx="1">
                  <c:v>50-99</c:v>
                </c:pt>
                <c:pt idx="2">
                  <c:v>100-149</c:v>
                </c:pt>
                <c:pt idx="3">
                  <c:v>150-199</c:v>
                </c:pt>
                <c:pt idx="4">
                  <c:v>200-249</c:v>
                </c:pt>
                <c:pt idx="5">
                  <c:v>250-299</c:v>
                </c:pt>
                <c:pt idx="6">
                  <c:v>300-349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7"/>
                <c:pt idx="0">
                  <c:v>23</c:v>
                </c:pt>
                <c:pt idx="1">
                  <c:v>20</c:v>
                </c:pt>
                <c:pt idx="2">
                  <c:v>19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3E-4461-AF1F-96C0793EC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734799776"/>
        <c:axId val="734801216"/>
      </c:barChart>
      <c:catAx>
        <c:axId val="734799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Potassium (mg)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801216"/>
        <c:crosses val="autoZero"/>
        <c:auto val="1"/>
        <c:lblAlgn val="ctr"/>
        <c:lblOffset val="100"/>
        <c:noMultiLvlLbl val="0"/>
      </c:catAx>
      <c:valAx>
        <c:axId val="73480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799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[Unit 1 Project Data Set.xlsx]Sheet2!PivotTable2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</a:t>
            </a:r>
            <a:r>
              <a:rPr lang="en-US" baseline="0"/>
              <a:t> Frequency of Cereal Manufacturers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5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>
              <a:lumMod val="40000"/>
              <a:lumOff val="60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A3D-4F3A-B41C-505E6D783CA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A3D-4F3A-B41C-505E6D783CAC}"/>
              </c:ext>
            </c:extLst>
          </c:dPt>
          <c:dPt>
            <c:idx val="6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A3D-4F3A-B41C-505E6D783CA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Sheet2!$A$2:$A$9</c:f>
              <c:strCache>
                <c:ptCount val="7"/>
                <c:pt idx="0">
                  <c:v>American</c:v>
                </c:pt>
                <c:pt idx="1">
                  <c:v>General Mills</c:v>
                </c:pt>
                <c:pt idx="2">
                  <c:v>Kellog</c:v>
                </c:pt>
                <c:pt idx="3">
                  <c:v>Nabisco</c:v>
                </c:pt>
                <c:pt idx="4">
                  <c:v>Post</c:v>
                </c:pt>
                <c:pt idx="5">
                  <c:v>Quaker Oats</c:v>
                </c:pt>
                <c:pt idx="6">
                  <c:v>Ralston</c:v>
                </c:pt>
              </c:strCache>
            </c:strRef>
          </c:cat>
          <c:val>
            <c:numRef>
              <c:f>Sheet2!$B$2:$B$9</c:f>
              <c:numCache>
                <c:formatCode>0.00%</c:formatCode>
                <c:ptCount val="7"/>
                <c:pt idx="0">
                  <c:v>1.2987012987012988E-2</c:v>
                </c:pt>
                <c:pt idx="1">
                  <c:v>0.2857142857142857</c:v>
                </c:pt>
                <c:pt idx="2">
                  <c:v>0.29870129870129869</c:v>
                </c:pt>
                <c:pt idx="3">
                  <c:v>7.792207792207792E-2</c:v>
                </c:pt>
                <c:pt idx="4">
                  <c:v>0.11688311688311688</c:v>
                </c:pt>
                <c:pt idx="5">
                  <c:v>0.1038961038961039</c:v>
                </c:pt>
                <c:pt idx="6">
                  <c:v>0.1038961038961039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3D-4F3A-B41C-505E6D783CA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060537972700681"/>
          <c:y val="0.18686303576356134"/>
          <c:w val="0.20817953845530643"/>
          <c:h val="0.755627001392552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latin typeface="Calibri" panose="020F0502020204030204"/>
                <a:ea typeface="Calibri" panose="020F0502020204030204" pitchFamily="34" charset="0"/>
                <a:cs typeface="Calibri" panose="020F0502020204030204" pitchFamily="34" charset="0"/>
              </a:rPr>
              <a:t>Cereal Nutrition</a:t>
            </a: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0DB8DA37-E86F-47CC-9B18-3F47062F0EF8}">
          <cx:tx>
            <cx:txData>
              <cx:f>_xlchart.v1.0</cx:f>
              <cx:v>Sodium (mg)</cx:v>
            </cx:txData>
          </cx:tx>
          <cx:spPr>
            <a:solidFill>
              <a:schemeClr val="accent6">
                <a:lumMod val="40000"/>
                <a:lumOff val="60000"/>
              </a:schemeClr>
            </a:solidFill>
          </cx:spPr>
          <cx:dataLabels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inclusive"/>
          </cx:layoutPr>
        </cx:series>
        <cx:series layoutId="boxWhisker" uniqueId="{81C0B7BB-221D-4BAA-BCDD-3F7959B2635E}">
          <cx:tx>
            <cx:txData>
              <cx:f>_xlchart.v1.2</cx:f>
              <cx:v>Potassium (mg)</cx:v>
            </cx:txData>
          </cx:tx>
          <cx:dataLabels>
            <cx:visibility seriesName="0" categoryName="0" value="1"/>
          </cx:dataLabels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 hidden="1">
        <cx:catScaling gapWidth="1"/>
        <cx:tickLabels/>
      </cx:axis>
      <cx:axis id="1">
        <cx:val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/>
                </a:pPr>
                <a:r>
                  <a:rPr lang="en-US" sz="900" b="0" i="0" u="none" strike="noStrike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  <a:latin typeface="Calibri" panose="020F0502020204030204"/>
                    <a:ea typeface="Calibri" panose="020F0502020204030204" pitchFamily="34" charset="0"/>
                    <a:cs typeface="Calibri" panose="020F0502020204030204" pitchFamily="34" charset="0"/>
                  </a:rPr>
                  <a:t>Milligrams</a:t>
                </a:r>
                <a:endPara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Calibri" panose="020F0502020204030204"/>
                </a:endParaRPr>
              </a:p>
            </cx:rich>
          </cx:tx>
        </cx:title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43D880-850D-4A74-AF28-EC9965D73EBE}">
  <sheetPr/>
  <sheetViews>
    <sheetView zoomScale="11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600075</xdr:colOff>
      <xdr:row>0</xdr:row>
      <xdr:rowOff>0</xdr:rowOff>
    </xdr:from>
    <xdr:to>
      <xdr:col>17</xdr:col>
      <xdr:colOff>257175</xdr:colOff>
      <xdr:row>20</xdr:row>
      <xdr:rowOff>185738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FA8A61-BF94-41FE-D9CC-801996424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609599</xdr:colOff>
      <xdr:row>0</xdr:row>
      <xdr:rowOff>0</xdr:rowOff>
    </xdr:from>
    <xdr:to>
      <xdr:col>12</xdr:col>
      <xdr:colOff>514350</xdr:colOff>
      <xdr:row>20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F04E4F-38B1-55B3-2890-1D13549813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4408" cy="6291513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EB3EB6E-7348-02E2-F54F-A1146A7F7CC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673264EA-13D6-CA6A-EAA7-3020BD38B748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4408" cy="629151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de Eckert" refreshedDate="45738.071224189815" createdVersion="8" refreshedVersion="8" minRefreshableVersion="3" recordCount="78" xr:uid="{330D2442-2972-462A-982E-77183B591FF8}">
  <cacheSource type="worksheet">
    <worksheetSource ref="L1:L1048576" sheet="Data Sets"/>
  </cacheSource>
  <cacheFields count="1">
    <cacheField name="Potassium (mg)" numFmtId="0">
      <sharedItems containsString="0" containsBlank="1" containsNumber="1" containsInteger="1" minValue="15" maxValue="330" count="36">
        <n v="280"/>
        <n v="135"/>
        <n v="320"/>
        <n v="330"/>
        <m/>
        <n v="70"/>
        <n v="30"/>
        <n v="100"/>
        <n v="125"/>
        <n v="190"/>
        <n v="35"/>
        <n v="105"/>
        <n v="45"/>
        <n v="55"/>
        <n v="25"/>
        <n v="20"/>
        <n v="65"/>
        <n v="160"/>
        <n v="120"/>
        <n v="80"/>
        <n v="200"/>
        <n v="40"/>
        <n v="85"/>
        <n v="90"/>
        <n v="60"/>
        <n v="95"/>
        <n v="170"/>
        <n v="130"/>
        <n v="260"/>
        <n v="15"/>
        <n v="50"/>
        <n v="110"/>
        <n v="240"/>
        <n v="140"/>
        <n v="230"/>
        <n v="115"/>
      </sharedItems>
      <fieldGroup base="0">
        <rangePr autoStart="0" autoEnd="0" startNum="0" endNum="349" groupInterval="50"/>
        <groupItems count="9">
          <s v="&lt;0 or (blank)"/>
          <s v="0-49"/>
          <s v="50-99"/>
          <s v="100-149"/>
          <s v="150-199"/>
          <s v="200-249"/>
          <s v="250-299"/>
          <s v="300-349"/>
          <s v="&gt;35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ade Eckert" refreshedDate="45738.085927430555" createdVersion="8" refreshedVersion="8" minRefreshableVersion="3" recordCount="78" xr:uid="{53376731-0F2E-4F3A-9851-5A8D9386941B}">
  <cacheSource type="worksheet">
    <worksheetSource ref="C1:C1048576" sheet="Data Sets"/>
  </cacheSource>
  <cacheFields count="1">
    <cacheField name="Manufacturer" numFmtId="0">
      <sharedItems containsBlank="1" count="8">
        <s v="Nabisco"/>
        <s v="Quaker Oats"/>
        <s v="Kellog"/>
        <s v="Ralston"/>
        <s v="General Mills"/>
        <s v="Post"/>
        <s v="American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1"/>
  </r>
  <r>
    <x v="13"/>
  </r>
  <r>
    <x v="14"/>
  </r>
  <r>
    <x v="10"/>
  </r>
  <r>
    <x v="15"/>
  </r>
  <r>
    <x v="16"/>
  </r>
  <r>
    <x v="17"/>
  </r>
  <r>
    <x v="4"/>
  </r>
  <r>
    <x v="6"/>
  </r>
  <r>
    <x v="18"/>
  </r>
  <r>
    <x v="19"/>
  </r>
  <r>
    <x v="6"/>
  </r>
  <r>
    <x v="14"/>
  </r>
  <r>
    <x v="7"/>
  </r>
  <r>
    <x v="20"/>
  </r>
  <r>
    <x v="9"/>
  </r>
  <r>
    <x v="14"/>
  </r>
  <r>
    <x v="21"/>
  </r>
  <r>
    <x v="12"/>
  </r>
  <r>
    <x v="22"/>
  </r>
  <r>
    <x v="23"/>
  </r>
  <r>
    <x v="7"/>
  </r>
  <r>
    <x v="12"/>
  </r>
  <r>
    <x v="23"/>
  </r>
  <r>
    <x v="10"/>
  </r>
  <r>
    <x v="24"/>
  </r>
  <r>
    <x v="25"/>
  </r>
  <r>
    <x v="21"/>
  </r>
  <r>
    <x v="25"/>
  </r>
  <r>
    <x v="13"/>
  </r>
  <r>
    <x v="25"/>
  </r>
  <r>
    <x v="26"/>
  </r>
  <r>
    <x v="26"/>
  </r>
  <r>
    <x v="17"/>
  </r>
  <r>
    <x v="23"/>
  </r>
  <r>
    <x v="21"/>
  </r>
  <r>
    <x v="27"/>
  </r>
  <r>
    <x v="23"/>
  </r>
  <r>
    <x v="18"/>
  </r>
  <r>
    <x v="28"/>
  </r>
  <r>
    <x v="12"/>
  </r>
  <r>
    <x v="29"/>
  </r>
  <r>
    <x v="30"/>
  </r>
  <r>
    <x v="31"/>
  </r>
  <r>
    <x v="31"/>
  </r>
  <r>
    <x v="32"/>
  </r>
  <r>
    <x v="33"/>
  </r>
  <r>
    <x v="31"/>
  </r>
  <r>
    <x v="6"/>
  </r>
  <r>
    <x v="10"/>
  </r>
  <r>
    <x v="25"/>
  </r>
  <r>
    <x v="33"/>
  </r>
  <r>
    <x v="18"/>
  </r>
  <r>
    <x v="21"/>
  </r>
  <r>
    <x v="13"/>
  </r>
  <r>
    <x v="23"/>
  </r>
  <r>
    <x v="10"/>
  </r>
  <r>
    <x v="34"/>
  </r>
  <r>
    <x v="31"/>
  </r>
  <r>
    <x v="24"/>
  </r>
  <r>
    <x v="14"/>
  </r>
  <r>
    <x v="35"/>
  </r>
  <r>
    <x v="31"/>
  </r>
  <r>
    <x v="24"/>
  </r>
  <r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8">
  <r>
    <x v="0"/>
  </r>
  <r>
    <x v="1"/>
  </r>
  <r>
    <x v="2"/>
  </r>
  <r>
    <x v="2"/>
  </r>
  <r>
    <x v="3"/>
  </r>
  <r>
    <x v="4"/>
  </r>
  <r>
    <x v="2"/>
  </r>
  <r>
    <x v="4"/>
  </r>
  <r>
    <x v="3"/>
  </r>
  <r>
    <x v="5"/>
  </r>
  <r>
    <x v="1"/>
  </r>
  <r>
    <x v="4"/>
  </r>
  <r>
    <x v="4"/>
  </r>
  <r>
    <x v="4"/>
  </r>
  <r>
    <x v="4"/>
  </r>
  <r>
    <x v="3"/>
  </r>
  <r>
    <x v="2"/>
  </r>
  <r>
    <x v="2"/>
  </r>
  <r>
    <x v="4"/>
  </r>
  <r>
    <x v="2"/>
  </r>
  <r>
    <x v="0"/>
  </r>
  <r>
    <x v="2"/>
  </r>
  <r>
    <x v="4"/>
  </r>
  <r>
    <x v="3"/>
  </r>
  <r>
    <x v="2"/>
  </r>
  <r>
    <x v="2"/>
  </r>
  <r>
    <x v="2"/>
  </r>
  <r>
    <x v="5"/>
  </r>
  <r>
    <x v="2"/>
  </r>
  <r>
    <x v="5"/>
  </r>
  <r>
    <x v="5"/>
  </r>
  <r>
    <x v="4"/>
  </r>
  <r>
    <x v="5"/>
  </r>
  <r>
    <x v="5"/>
  </r>
  <r>
    <x v="5"/>
  </r>
  <r>
    <x v="1"/>
  </r>
  <r>
    <x v="4"/>
  </r>
  <r>
    <x v="5"/>
  </r>
  <r>
    <x v="2"/>
  </r>
  <r>
    <x v="2"/>
  </r>
  <r>
    <x v="4"/>
  </r>
  <r>
    <x v="1"/>
  </r>
  <r>
    <x v="4"/>
  </r>
  <r>
    <x v="6"/>
  </r>
  <r>
    <x v="3"/>
  </r>
  <r>
    <x v="3"/>
  </r>
  <r>
    <x v="2"/>
  </r>
  <r>
    <x v="4"/>
  </r>
  <r>
    <x v="2"/>
  </r>
  <r>
    <x v="2"/>
  </r>
  <r>
    <x v="2"/>
  </r>
  <r>
    <x v="4"/>
  </r>
  <r>
    <x v="5"/>
  </r>
  <r>
    <x v="2"/>
  </r>
  <r>
    <x v="1"/>
  </r>
  <r>
    <x v="1"/>
  </r>
  <r>
    <x v="1"/>
  </r>
  <r>
    <x v="1"/>
  </r>
  <r>
    <x v="2"/>
  </r>
  <r>
    <x v="4"/>
  </r>
  <r>
    <x v="2"/>
  </r>
  <r>
    <x v="3"/>
  </r>
  <r>
    <x v="2"/>
  </r>
  <r>
    <x v="0"/>
  </r>
  <r>
    <x v="0"/>
  </r>
  <r>
    <x v="0"/>
  </r>
  <r>
    <x v="2"/>
  </r>
  <r>
    <x v="2"/>
  </r>
  <r>
    <x v="0"/>
  </r>
  <r>
    <x v="4"/>
  </r>
  <r>
    <x v="4"/>
  </r>
  <r>
    <x v="4"/>
  </r>
  <r>
    <x v="4"/>
  </r>
  <r>
    <x v="4"/>
  </r>
  <r>
    <x v="3"/>
  </r>
  <r>
    <x v="4"/>
  </r>
  <r>
    <x v="4"/>
  </r>
  <r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1D014A-919A-4A0F-BC52-A4ED3184C8D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Potassium (mg)">
  <location ref="A1:B9" firstHeaderRow="1" firstDataRow="1" firstDataCol="1"/>
  <pivotFields count="1">
    <pivotField axis="axisRow" dataField="1" showAll="0">
      <items count="10">
        <item h="1"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0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" fld="0" subtotal="count" baseField="0" baseItem="1"/>
  </dataField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FFE50C-891A-461D-8369-A1AC0B631D69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Manufacturer">
  <location ref="A1:B9" firstHeaderRow="1" firstDataRow="1" firstDataCol="1"/>
  <pivotFields count="1">
    <pivotField axis="axisRow" dataField="1" showAll="0">
      <items count="9">
        <item x="6"/>
        <item x="4"/>
        <item x="2"/>
        <item x="0"/>
        <item x="5"/>
        <item x="1"/>
        <item x="3"/>
        <item h="1" x="7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Relative Frequency" fld="0" subtotal="count" showDataAs="percentOfTotal" baseField="0" baseItem="0" numFmtId="1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A0C31-A5B8-4EC5-93A1-3B1D01872477}">
  <dimension ref="A1:M78"/>
  <sheetViews>
    <sheetView workbookViewId="0">
      <selection activeCell="H1" sqref="H1:H1048576"/>
    </sheetView>
  </sheetViews>
  <sheetFormatPr defaultRowHeight="15" x14ac:dyDescent="0.25"/>
  <cols>
    <col min="1" max="1" width="7.5703125" bestFit="1" customWidth="1"/>
    <col min="2" max="2" width="38.85546875" bestFit="1" customWidth="1"/>
    <col min="3" max="3" width="13.140625" bestFit="1" customWidth="1"/>
    <col min="4" max="4" width="5.28515625" bestFit="1" customWidth="1"/>
    <col min="5" max="5" width="15.140625" bestFit="1" customWidth="1"/>
    <col min="6" max="6" width="10.42578125" bestFit="1" customWidth="1"/>
    <col min="7" max="7" width="6.5703125" bestFit="1" customWidth="1"/>
    <col min="8" max="8" width="12.28515625" bestFit="1" customWidth="1"/>
    <col min="9" max="9" width="8.42578125" bestFit="1" customWidth="1"/>
    <col min="10" max="10" width="16.85546875" bestFit="1" customWidth="1"/>
    <col min="11" max="11" width="9.5703125" bestFit="1" customWidth="1"/>
    <col min="12" max="12" width="14.85546875" bestFit="1" customWidth="1"/>
    <col min="13" max="13" width="12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</row>
    <row r="2" spans="1:13" x14ac:dyDescent="0.25">
      <c r="A2" t="s">
        <v>4</v>
      </c>
      <c r="B2" t="s">
        <v>5</v>
      </c>
      <c r="C2" t="s">
        <v>95</v>
      </c>
      <c r="D2" t="s">
        <v>6</v>
      </c>
      <c r="E2">
        <v>70</v>
      </c>
      <c r="F2">
        <v>4</v>
      </c>
      <c r="G2">
        <v>1</v>
      </c>
      <c r="H2">
        <v>130</v>
      </c>
      <c r="I2">
        <v>10</v>
      </c>
      <c r="J2">
        <v>5</v>
      </c>
      <c r="K2">
        <v>6</v>
      </c>
      <c r="L2">
        <v>280</v>
      </c>
      <c r="M2">
        <v>25</v>
      </c>
    </row>
    <row r="3" spans="1:13" x14ac:dyDescent="0.25">
      <c r="A3" t="s">
        <v>4</v>
      </c>
      <c r="B3" t="s">
        <v>7</v>
      </c>
      <c r="C3" t="s">
        <v>96</v>
      </c>
      <c r="D3" t="s">
        <v>6</v>
      </c>
      <c r="E3">
        <v>120</v>
      </c>
      <c r="F3">
        <v>3</v>
      </c>
      <c r="G3">
        <v>5</v>
      </c>
      <c r="H3">
        <v>15</v>
      </c>
      <c r="I3">
        <v>2</v>
      </c>
      <c r="J3">
        <v>8</v>
      </c>
      <c r="K3">
        <v>8</v>
      </c>
      <c r="L3">
        <v>135</v>
      </c>
      <c r="M3">
        <v>0</v>
      </c>
    </row>
    <row r="4" spans="1:13" x14ac:dyDescent="0.25">
      <c r="A4" t="s">
        <v>4</v>
      </c>
      <c r="B4" t="s">
        <v>8</v>
      </c>
      <c r="C4" t="s">
        <v>97</v>
      </c>
      <c r="D4" t="s">
        <v>6</v>
      </c>
      <c r="E4">
        <v>70</v>
      </c>
      <c r="F4">
        <v>4</v>
      </c>
      <c r="G4">
        <v>1</v>
      </c>
      <c r="H4">
        <v>260</v>
      </c>
      <c r="I4">
        <v>9</v>
      </c>
      <c r="J4">
        <v>7</v>
      </c>
      <c r="K4">
        <v>5</v>
      </c>
      <c r="L4">
        <v>320</v>
      </c>
      <c r="M4">
        <v>25</v>
      </c>
    </row>
    <row r="5" spans="1:13" x14ac:dyDescent="0.25">
      <c r="A5" t="s">
        <v>4</v>
      </c>
      <c r="B5" t="s">
        <v>9</v>
      </c>
      <c r="C5" t="s">
        <v>97</v>
      </c>
      <c r="D5" t="s">
        <v>6</v>
      </c>
      <c r="E5">
        <v>50</v>
      </c>
      <c r="F5">
        <v>4</v>
      </c>
      <c r="G5">
        <v>0</v>
      </c>
      <c r="H5">
        <v>140</v>
      </c>
      <c r="I5">
        <v>14</v>
      </c>
      <c r="J5">
        <v>8</v>
      </c>
      <c r="K5">
        <v>0</v>
      </c>
      <c r="L5">
        <v>330</v>
      </c>
      <c r="M5">
        <v>25</v>
      </c>
    </row>
    <row r="6" spans="1:13" x14ac:dyDescent="0.25">
      <c r="A6" t="s">
        <v>4</v>
      </c>
      <c r="B6" t="s">
        <v>10</v>
      </c>
      <c r="C6" t="s">
        <v>98</v>
      </c>
      <c r="D6" t="s">
        <v>6</v>
      </c>
      <c r="E6">
        <v>110</v>
      </c>
      <c r="F6">
        <v>2</v>
      </c>
      <c r="G6">
        <v>2</v>
      </c>
      <c r="H6">
        <v>200</v>
      </c>
      <c r="I6">
        <v>1</v>
      </c>
      <c r="J6">
        <v>14</v>
      </c>
      <c r="K6">
        <v>8</v>
      </c>
      <c r="M6">
        <v>25</v>
      </c>
    </row>
    <row r="7" spans="1:13" x14ac:dyDescent="0.25">
      <c r="A7" t="s">
        <v>11</v>
      </c>
      <c r="B7" t="s">
        <v>12</v>
      </c>
      <c r="C7" t="s">
        <v>99</v>
      </c>
      <c r="D7" t="s">
        <v>6</v>
      </c>
      <c r="E7">
        <v>110</v>
      </c>
      <c r="F7">
        <v>2</v>
      </c>
      <c r="G7">
        <v>2</v>
      </c>
      <c r="H7">
        <v>180</v>
      </c>
      <c r="I7">
        <v>1.5</v>
      </c>
      <c r="J7">
        <v>10.5</v>
      </c>
      <c r="K7">
        <v>10</v>
      </c>
      <c r="L7">
        <v>70</v>
      </c>
      <c r="M7">
        <v>25</v>
      </c>
    </row>
    <row r="8" spans="1:13" x14ac:dyDescent="0.25">
      <c r="A8" t="s">
        <v>13</v>
      </c>
      <c r="B8" t="s">
        <v>14</v>
      </c>
      <c r="C8" t="s">
        <v>97</v>
      </c>
      <c r="D8" t="s">
        <v>6</v>
      </c>
      <c r="E8">
        <v>110</v>
      </c>
      <c r="F8">
        <v>2</v>
      </c>
      <c r="G8">
        <v>0</v>
      </c>
      <c r="H8">
        <v>125</v>
      </c>
      <c r="I8">
        <v>1</v>
      </c>
      <c r="J8">
        <v>11</v>
      </c>
      <c r="K8">
        <v>14</v>
      </c>
      <c r="L8">
        <v>30</v>
      </c>
      <c r="M8">
        <v>25</v>
      </c>
    </row>
    <row r="9" spans="1:13" x14ac:dyDescent="0.25">
      <c r="A9" t="s">
        <v>4</v>
      </c>
      <c r="B9" t="s">
        <v>15</v>
      </c>
      <c r="C9" t="s">
        <v>99</v>
      </c>
      <c r="D9" t="s">
        <v>6</v>
      </c>
      <c r="E9">
        <v>130</v>
      </c>
      <c r="F9">
        <v>3</v>
      </c>
      <c r="G9">
        <v>2</v>
      </c>
      <c r="H9">
        <v>210</v>
      </c>
      <c r="I9">
        <v>2</v>
      </c>
      <c r="J9">
        <v>18</v>
      </c>
      <c r="K9">
        <v>8</v>
      </c>
      <c r="L9">
        <v>100</v>
      </c>
      <c r="M9">
        <v>25</v>
      </c>
    </row>
    <row r="10" spans="1:13" x14ac:dyDescent="0.25">
      <c r="A10" t="s">
        <v>11</v>
      </c>
      <c r="B10" t="s">
        <v>16</v>
      </c>
      <c r="C10" t="s">
        <v>98</v>
      </c>
      <c r="D10" t="s">
        <v>6</v>
      </c>
      <c r="E10">
        <v>90</v>
      </c>
      <c r="F10">
        <v>2</v>
      </c>
      <c r="G10">
        <v>1</v>
      </c>
      <c r="H10">
        <v>200</v>
      </c>
      <c r="I10">
        <v>4</v>
      </c>
      <c r="J10">
        <v>15</v>
      </c>
      <c r="K10">
        <v>6</v>
      </c>
      <c r="L10">
        <v>125</v>
      </c>
      <c r="M10">
        <v>25</v>
      </c>
    </row>
    <row r="11" spans="1:13" x14ac:dyDescent="0.25">
      <c r="A11" t="s">
        <v>4</v>
      </c>
      <c r="B11" t="s">
        <v>17</v>
      </c>
      <c r="C11" t="s">
        <v>100</v>
      </c>
      <c r="D11" t="s">
        <v>6</v>
      </c>
      <c r="E11">
        <v>90</v>
      </c>
      <c r="F11">
        <v>3</v>
      </c>
      <c r="G11">
        <v>0</v>
      </c>
      <c r="H11">
        <v>210</v>
      </c>
      <c r="I11">
        <v>5</v>
      </c>
      <c r="J11">
        <v>13</v>
      </c>
      <c r="K11">
        <v>5</v>
      </c>
      <c r="L11">
        <v>190</v>
      </c>
      <c r="M11">
        <v>25</v>
      </c>
    </row>
    <row r="12" spans="1:13" x14ac:dyDescent="0.25">
      <c r="A12" t="s">
        <v>13</v>
      </c>
      <c r="B12" t="s">
        <v>18</v>
      </c>
      <c r="C12" t="s">
        <v>96</v>
      </c>
      <c r="D12" t="s">
        <v>6</v>
      </c>
      <c r="E12">
        <v>120</v>
      </c>
      <c r="F12">
        <v>1</v>
      </c>
      <c r="G12">
        <v>2</v>
      </c>
      <c r="H12">
        <v>220</v>
      </c>
      <c r="I12">
        <v>0</v>
      </c>
      <c r="J12">
        <v>12</v>
      </c>
      <c r="K12">
        <v>12</v>
      </c>
      <c r="L12">
        <v>35</v>
      </c>
      <c r="M12">
        <v>25</v>
      </c>
    </row>
    <row r="13" spans="1:13" x14ac:dyDescent="0.25">
      <c r="A13" t="s">
        <v>11</v>
      </c>
      <c r="B13" t="s">
        <v>19</v>
      </c>
      <c r="C13" t="s">
        <v>99</v>
      </c>
      <c r="D13" t="s">
        <v>6</v>
      </c>
      <c r="E13">
        <v>110</v>
      </c>
      <c r="F13">
        <v>6</v>
      </c>
      <c r="G13">
        <v>2</v>
      </c>
      <c r="H13">
        <v>290</v>
      </c>
      <c r="I13">
        <v>2</v>
      </c>
      <c r="J13">
        <v>17</v>
      </c>
      <c r="K13">
        <v>1</v>
      </c>
      <c r="L13">
        <v>105</v>
      </c>
      <c r="M13">
        <v>25</v>
      </c>
    </row>
    <row r="14" spans="1:13" x14ac:dyDescent="0.25">
      <c r="A14" t="s">
        <v>13</v>
      </c>
      <c r="B14" t="s">
        <v>20</v>
      </c>
      <c r="C14" t="s">
        <v>99</v>
      </c>
      <c r="D14" t="s">
        <v>6</v>
      </c>
      <c r="E14">
        <v>120</v>
      </c>
      <c r="F14">
        <v>1</v>
      </c>
      <c r="G14">
        <v>3</v>
      </c>
      <c r="H14">
        <v>210</v>
      </c>
      <c r="I14">
        <v>0</v>
      </c>
      <c r="J14">
        <v>13</v>
      </c>
      <c r="K14">
        <v>9</v>
      </c>
      <c r="L14">
        <v>45</v>
      </c>
      <c r="M14">
        <v>25</v>
      </c>
    </row>
    <row r="15" spans="1:13" x14ac:dyDescent="0.25">
      <c r="A15" t="s">
        <v>4</v>
      </c>
      <c r="B15" t="s">
        <v>21</v>
      </c>
      <c r="C15" t="s">
        <v>99</v>
      </c>
      <c r="D15" t="s">
        <v>6</v>
      </c>
      <c r="E15">
        <v>110</v>
      </c>
      <c r="F15">
        <v>3</v>
      </c>
      <c r="G15">
        <v>2</v>
      </c>
      <c r="H15">
        <v>140</v>
      </c>
      <c r="I15">
        <v>2</v>
      </c>
      <c r="J15">
        <v>13</v>
      </c>
      <c r="K15">
        <v>7</v>
      </c>
      <c r="L15">
        <v>105</v>
      </c>
      <c r="M15">
        <v>25</v>
      </c>
    </row>
    <row r="16" spans="1:13" x14ac:dyDescent="0.25">
      <c r="A16" t="s">
        <v>13</v>
      </c>
      <c r="B16" t="s">
        <v>22</v>
      </c>
      <c r="C16" t="s">
        <v>99</v>
      </c>
      <c r="D16" t="s">
        <v>6</v>
      </c>
      <c r="E16">
        <v>110</v>
      </c>
      <c r="F16">
        <v>1</v>
      </c>
      <c r="G16">
        <v>1</v>
      </c>
      <c r="H16">
        <v>180</v>
      </c>
      <c r="I16">
        <v>0</v>
      </c>
      <c r="J16">
        <v>12</v>
      </c>
      <c r="K16">
        <v>13</v>
      </c>
      <c r="L16">
        <v>55</v>
      </c>
      <c r="M16">
        <v>25</v>
      </c>
    </row>
    <row r="17" spans="1:13" x14ac:dyDescent="0.25">
      <c r="A17" t="s">
        <v>11</v>
      </c>
      <c r="B17" t="s">
        <v>23</v>
      </c>
      <c r="C17" t="s">
        <v>98</v>
      </c>
      <c r="D17" t="s">
        <v>6</v>
      </c>
      <c r="E17">
        <v>110</v>
      </c>
      <c r="F17">
        <v>2</v>
      </c>
      <c r="G17">
        <v>0</v>
      </c>
      <c r="H17">
        <v>280</v>
      </c>
      <c r="I17">
        <v>0</v>
      </c>
      <c r="J17">
        <v>22</v>
      </c>
      <c r="K17">
        <v>3</v>
      </c>
      <c r="L17">
        <v>25</v>
      </c>
      <c r="M17">
        <v>25</v>
      </c>
    </row>
    <row r="18" spans="1:13" x14ac:dyDescent="0.25">
      <c r="A18" t="s">
        <v>11</v>
      </c>
      <c r="B18" t="s">
        <v>24</v>
      </c>
      <c r="C18" t="s">
        <v>97</v>
      </c>
      <c r="D18" t="s">
        <v>6</v>
      </c>
      <c r="E18">
        <v>100</v>
      </c>
      <c r="F18">
        <v>2</v>
      </c>
      <c r="G18">
        <v>0</v>
      </c>
      <c r="H18">
        <v>290</v>
      </c>
      <c r="I18">
        <v>1</v>
      </c>
      <c r="J18">
        <v>21</v>
      </c>
      <c r="K18">
        <v>2</v>
      </c>
      <c r="L18">
        <v>35</v>
      </c>
      <c r="M18">
        <v>25</v>
      </c>
    </row>
    <row r="19" spans="1:13" x14ac:dyDescent="0.25">
      <c r="A19" t="s">
        <v>13</v>
      </c>
      <c r="B19" t="s">
        <v>25</v>
      </c>
      <c r="C19" t="s">
        <v>97</v>
      </c>
      <c r="D19" t="s">
        <v>6</v>
      </c>
      <c r="E19">
        <v>110</v>
      </c>
      <c r="F19">
        <v>1</v>
      </c>
      <c r="G19">
        <v>0</v>
      </c>
      <c r="H19">
        <v>90</v>
      </c>
      <c r="I19">
        <v>1</v>
      </c>
      <c r="J19">
        <v>13</v>
      </c>
      <c r="K19">
        <v>12</v>
      </c>
      <c r="L19">
        <v>20</v>
      </c>
      <c r="M19">
        <v>25</v>
      </c>
    </row>
    <row r="20" spans="1:13" x14ac:dyDescent="0.25">
      <c r="A20" t="s">
        <v>13</v>
      </c>
      <c r="B20" t="s">
        <v>26</v>
      </c>
      <c r="C20" t="s">
        <v>99</v>
      </c>
      <c r="D20" t="s">
        <v>6</v>
      </c>
      <c r="E20">
        <v>110</v>
      </c>
      <c r="F20">
        <v>1</v>
      </c>
      <c r="G20">
        <v>1</v>
      </c>
      <c r="H20">
        <v>180</v>
      </c>
      <c r="I20">
        <v>0</v>
      </c>
      <c r="J20">
        <v>12</v>
      </c>
      <c r="K20">
        <v>13</v>
      </c>
      <c r="L20">
        <v>65</v>
      </c>
      <c r="M20">
        <v>25</v>
      </c>
    </row>
    <row r="21" spans="1:13" x14ac:dyDescent="0.25">
      <c r="A21" t="s">
        <v>4</v>
      </c>
      <c r="B21" t="s">
        <v>27</v>
      </c>
      <c r="C21" t="s">
        <v>97</v>
      </c>
      <c r="D21" t="s">
        <v>6</v>
      </c>
      <c r="E21">
        <v>110</v>
      </c>
      <c r="F21">
        <v>3</v>
      </c>
      <c r="G21">
        <v>3</v>
      </c>
      <c r="H21">
        <v>140</v>
      </c>
      <c r="I21">
        <v>4</v>
      </c>
      <c r="J21">
        <v>10</v>
      </c>
      <c r="K21">
        <v>7</v>
      </c>
      <c r="L21">
        <v>160</v>
      </c>
      <c r="M21">
        <v>25</v>
      </c>
    </row>
    <row r="22" spans="1:13" x14ac:dyDescent="0.25">
      <c r="A22" t="s">
        <v>13</v>
      </c>
      <c r="B22" t="s">
        <v>28</v>
      </c>
      <c r="C22" t="s">
        <v>95</v>
      </c>
      <c r="D22" t="s">
        <v>29</v>
      </c>
      <c r="E22">
        <v>100</v>
      </c>
      <c r="F22">
        <v>3</v>
      </c>
      <c r="G22">
        <v>0</v>
      </c>
      <c r="H22">
        <v>80</v>
      </c>
      <c r="I22">
        <v>1</v>
      </c>
      <c r="J22">
        <v>21</v>
      </c>
      <c r="K22">
        <v>0</v>
      </c>
      <c r="M22">
        <v>0</v>
      </c>
    </row>
    <row r="23" spans="1:13" x14ac:dyDescent="0.25">
      <c r="A23" t="s">
        <v>4</v>
      </c>
      <c r="B23" t="s">
        <v>30</v>
      </c>
      <c r="C23" t="s">
        <v>97</v>
      </c>
      <c r="D23" t="s">
        <v>6</v>
      </c>
      <c r="E23">
        <v>110</v>
      </c>
      <c r="F23">
        <v>2</v>
      </c>
      <c r="G23">
        <v>0</v>
      </c>
      <c r="H23">
        <v>220</v>
      </c>
      <c r="I23">
        <v>1</v>
      </c>
      <c r="J23">
        <v>21</v>
      </c>
      <c r="K23">
        <v>3</v>
      </c>
      <c r="L23">
        <v>30</v>
      </c>
      <c r="M23">
        <v>25</v>
      </c>
    </row>
    <row r="24" spans="1:13" x14ac:dyDescent="0.25">
      <c r="A24" t="s">
        <v>4</v>
      </c>
      <c r="B24" t="s">
        <v>31</v>
      </c>
      <c r="C24" t="s">
        <v>99</v>
      </c>
      <c r="D24" t="s">
        <v>6</v>
      </c>
      <c r="E24">
        <v>100</v>
      </c>
      <c r="F24">
        <v>2</v>
      </c>
      <c r="G24">
        <v>1</v>
      </c>
      <c r="H24">
        <v>140</v>
      </c>
      <c r="I24">
        <v>2</v>
      </c>
      <c r="J24">
        <v>11</v>
      </c>
      <c r="K24">
        <v>10</v>
      </c>
      <c r="L24">
        <v>120</v>
      </c>
      <c r="M24">
        <v>25</v>
      </c>
    </row>
    <row r="25" spans="1:13" x14ac:dyDescent="0.25">
      <c r="A25" t="s">
        <v>4</v>
      </c>
      <c r="B25" t="s">
        <v>32</v>
      </c>
      <c r="C25" t="s">
        <v>98</v>
      </c>
      <c r="D25" t="s">
        <v>6</v>
      </c>
      <c r="E25">
        <v>100</v>
      </c>
      <c r="F25">
        <v>2</v>
      </c>
      <c r="G25">
        <v>0</v>
      </c>
      <c r="H25">
        <v>190</v>
      </c>
      <c r="I25">
        <v>1</v>
      </c>
      <c r="J25">
        <v>18</v>
      </c>
      <c r="K25">
        <v>5</v>
      </c>
      <c r="L25">
        <v>80</v>
      </c>
      <c r="M25">
        <v>25</v>
      </c>
    </row>
    <row r="26" spans="1:13" x14ac:dyDescent="0.25">
      <c r="A26" t="s">
        <v>13</v>
      </c>
      <c r="B26" t="s">
        <v>33</v>
      </c>
      <c r="C26" t="s">
        <v>97</v>
      </c>
      <c r="D26" t="s">
        <v>6</v>
      </c>
      <c r="E26">
        <v>110</v>
      </c>
      <c r="F26">
        <v>2</v>
      </c>
      <c r="G26">
        <v>1</v>
      </c>
      <c r="H26">
        <v>125</v>
      </c>
      <c r="I26">
        <v>1</v>
      </c>
      <c r="J26">
        <v>11</v>
      </c>
      <c r="K26">
        <v>13</v>
      </c>
      <c r="L26">
        <v>30</v>
      </c>
      <c r="M26">
        <v>25</v>
      </c>
    </row>
    <row r="27" spans="1:13" x14ac:dyDescent="0.25">
      <c r="A27" t="s">
        <v>11</v>
      </c>
      <c r="B27" t="s">
        <v>34</v>
      </c>
      <c r="C27" t="s">
        <v>97</v>
      </c>
      <c r="D27" t="s">
        <v>6</v>
      </c>
      <c r="E27">
        <v>110</v>
      </c>
      <c r="F27">
        <v>1</v>
      </c>
      <c r="G27">
        <v>0</v>
      </c>
      <c r="H27">
        <v>200</v>
      </c>
      <c r="I27">
        <v>1</v>
      </c>
      <c r="J27">
        <v>14</v>
      </c>
      <c r="K27">
        <v>11</v>
      </c>
      <c r="L27">
        <v>25</v>
      </c>
      <c r="M27">
        <v>25</v>
      </c>
    </row>
    <row r="28" spans="1:13" x14ac:dyDescent="0.25">
      <c r="A28" t="s">
        <v>13</v>
      </c>
      <c r="B28" t="s">
        <v>35</v>
      </c>
      <c r="C28" t="s">
        <v>97</v>
      </c>
      <c r="D28" t="s">
        <v>6</v>
      </c>
      <c r="E28">
        <v>100</v>
      </c>
      <c r="F28">
        <v>3</v>
      </c>
      <c r="G28">
        <v>0</v>
      </c>
      <c r="H28">
        <v>0</v>
      </c>
      <c r="I28">
        <v>3</v>
      </c>
      <c r="J28">
        <v>14</v>
      </c>
      <c r="K28">
        <v>7</v>
      </c>
      <c r="L28">
        <v>100</v>
      </c>
      <c r="M28">
        <v>25</v>
      </c>
    </row>
    <row r="29" spans="1:13" x14ac:dyDescent="0.25">
      <c r="A29" t="s">
        <v>4</v>
      </c>
      <c r="B29" t="s">
        <v>36</v>
      </c>
      <c r="C29" t="s">
        <v>100</v>
      </c>
      <c r="D29" t="s">
        <v>6</v>
      </c>
      <c r="E29">
        <v>120</v>
      </c>
      <c r="F29">
        <v>3</v>
      </c>
      <c r="G29">
        <v>2</v>
      </c>
      <c r="H29">
        <v>160</v>
      </c>
      <c r="I29">
        <v>5</v>
      </c>
      <c r="J29">
        <v>12</v>
      </c>
      <c r="K29">
        <v>10</v>
      </c>
      <c r="L29">
        <v>200</v>
      </c>
      <c r="M29">
        <v>25</v>
      </c>
    </row>
    <row r="30" spans="1:13" x14ac:dyDescent="0.25">
      <c r="A30" t="s">
        <v>4</v>
      </c>
      <c r="B30" t="s">
        <v>37</v>
      </c>
      <c r="C30" t="s">
        <v>97</v>
      </c>
      <c r="D30" t="s">
        <v>6</v>
      </c>
      <c r="E30">
        <v>120</v>
      </c>
      <c r="F30">
        <v>3</v>
      </c>
      <c r="G30">
        <v>0</v>
      </c>
      <c r="H30">
        <v>240</v>
      </c>
      <c r="I30">
        <v>5</v>
      </c>
      <c r="J30">
        <v>14</v>
      </c>
      <c r="K30">
        <v>12</v>
      </c>
      <c r="L30">
        <v>190</v>
      </c>
      <c r="M30">
        <v>25</v>
      </c>
    </row>
    <row r="31" spans="1:13" x14ac:dyDescent="0.25">
      <c r="A31" t="s">
        <v>13</v>
      </c>
      <c r="B31" t="s">
        <v>38</v>
      </c>
      <c r="C31" t="s">
        <v>100</v>
      </c>
      <c r="D31" t="s">
        <v>6</v>
      </c>
      <c r="E31">
        <v>110</v>
      </c>
      <c r="F31">
        <v>1</v>
      </c>
      <c r="G31">
        <v>1</v>
      </c>
      <c r="H31">
        <v>135</v>
      </c>
      <c r="I31">
        <v>0</v>
      </c>
      <c r="J31">
        <v>13</v>
      </c>
      <c r="K31">
        <v>12</v>
      </c>
      <c r="L31">
        <v>25</v>
      </c>
      <c r="M31">
        <v>25</v>
      </c>
    </row>
    <row r="32" spans="1:13" x14ac:dyDescent="0.25">
      <c r="A32" t="s">
        <v>11</v>
      </c>
      <c r="B32" t="s">
        <v>39</v>
      </c>
      <c r="C32" t="s">
        <v>100</v>
      </c>
      <c r="D32" t="s">
        <v>6</v>
      </c>
      <c r="E32">
        <v>100</v>
      </c>
      <c r="F32">
        <v>2</v>
      </c>
      <c r="G32">
        <v>0</v>
      </c>
      <c r="H32">
        <v>45</v>
      </c>
      <c r="I32">
        <v>0</v>
      </c>
      <c r="J32">
        <v>11</v>
      </c>
      <c r="K32">
        <v>15</v>
      </c>
      <c r="L32">
        <v>40</v>
      </c>
      <c r="M32">
        <v>25</v>
      </c>
    </row>
    <row r="33" spans="1:13" x14ac:dyDescent="0.25">
      <c r="A33" t="s">
        <v>13</v>
      </c>
      <c r="B33" t="s">
        <v>40</v>
      </c>
      <c r="C33" t="s">
        <v>99</v>
      </c>
      <c r="D33" t="s">
        <v>6</v>
      </c>
      <c r="E33">
        <v>110</v>
      </c>
      <c r="F33">
        <v>1</v>
      </c>
      <c r="G33">
        <v>1</v>
      </c>
      <c r="H33">
        <v>280</v>
      </c>
      <c r="I33">
        <v>0</v>
      </c>
      <c r="J33">
        <v>15</v>
      </c>
      <c r="K33">
        <v>9</v>
      </c>
      <c r="L33">
        <v>45</v>
      </c>
      <c r="M33">
        <v>25</v>
      </c>
    </row>
    <row r="34" spans="1:13" x14ac:dyDescent="0.25">
      <c r="A34" t="s">
        <v>4</v>
      </c>
      <c r="B34" t="s">
        <v>41</v>
      </c>
      <c r="C34" t="s">
        <v>100</v>
      </c>
      <c r="D34" t="s">
        <v>6</v>
      </c>
      <c r="E34">
        <v>100</v>
      </c>
      <c r="F34">
        <v>3</v>
      </c>
      <c r="G34">
        <v>1</v>
      </c>
      <c r="H34">
        <v>140</v>
      </c>
      <c r="I34">
        <v>3</v>
      </c>
      <c r="J34">
        <v>15</v>
      </c>
      <c r="K34">
        <v>5</v>
      </c>
      <c r="L34">
        <v>85</v>
      </c>
      <c r="M34">
        <v>25</v>
      </c>
    </row>
    <row r="35" spans="1:13" x14ac:dyDescent="0.25">
      <c r="A35" t="s">
        <v>4</v>
      </c>
      <c r="B35" t="s">
        <v>42</v>
      </c>
      <c r="C35" t="s">
        <v>100</v>
      </c>
      <c r="D35" t="s">
        <v>6</v>
      </c>
      <c r="E35">
        <v>110</v>
      </c>
      <c r="F35">
        <v>3</v>
      </c>
      <c r="G35">
        <v>0</v>
      </c>
      <c r="H35">
        <v>170</v>
      </c>
      <c r="I35">
        <v>3</v>
      </c>
      <c r="J35">
        <v>17</v>
      </c>
      <c r="K35">
        <v>3</v>
      </c>
      <c r="L35">
        <v>90</v>
      </c>
      <c r="M35">
        <v>25</v>
      </c>
    </row>
    <row r="36" spans="1:13" x14ac:dyDescent="0.25">
      <c r="A36" t="s">
        <v>4</v>
      </c>
      <c r="B36" t="s">
        <v>43</v>
      </c>
      <c r="C36" t="s">
        <v>100</v>
      </c>
      <c r="D36" t="s">
        <v>6</v>
      </c>
      <c r="E36">
        <v>120</v>
      </c>
      <c r="F36">
        <v>3</v>
      </c>
      <c r="G36">
        <v>3</v>
      </c>
      <c r="H36">
        <v>75</v>
      </c>
      <c r="I36">
        <v>3</v>
      </c>
      <c r="J36">
        <v>13</v>
      </c>
      <c r="K36">
        <v>4</v>
      </c>
      <c r="L36">
        <v>100</v>
      </c>
      <c r="M36">
        <v>25</v>
      </c>
    </row>
    <row r="37" spans="1:13" x14ac:dyDescent="0.25">
      <c r="A37" t="s">
        <v>13</v>
      </c>
      <c r="B37" t="s">
        <v>44</v>
      </c>
      <c r="C37" t="s">
        <v>96</v>
      </c>
      <c r="D37" t="s">
        <v>6</v>
      </c>
      <c r="E37">
        <v>120</v>
      </c>
      <c r="F37">
        <v>1</v>
      </c>
      <c r="G37">
        <v>2</v>
      </c>
      <c r="H37">
        <v>220</v>
      </c>
      <c r="I37">
        <v>1</v>
      </c>
      <c r="J37">
        <v>12</v>
      </c>
      <c r="K37">
        <v>11</v>
      </c>
      <c r="L37">
        <v>45</v>
      </c>
      <c r="M37">
        <v>25</v>
      </c>
    </row>
    <row r="38" spans="1:13" x14ac:dyDescent="0.25">
      <c r="A38" t="s">
        <v>11</v>
      </c>
      <c r="B38" t="s">
        <v>45</v>
      </c>
      <c r="C38" t="s">
        <v>99</v>
      </c>
      <c r="D38" t="s">
        <v>6</v>
      </c>
      <c r="E38">
        <v>110</v>
      </c>
      <c r="F38">
        <v>3</v>
      </c>
      <c r="G38">
        <v>1</v>
      </c>
      <c r="H38">
        <v>250</v>
      </c>
      <c r="I38">
        <v>1.5</v>
      </c>
      <c r="J38">
        <v>11.5</v>
      </c>
      <c r="K38">
        <v>10</v>
      </c>
      <c r="L38">
        <v>90</v>
      </c>
      <c r="M38">
        <v>25</v>
      </c>
    </row>
    <row r="39" spans="1:13" x14ac:dyDescent="0.25">
      <c r="A39" t="s">
        <v>11</v>
      </c>
      <c r="B39" t="s">
        <v>46</v>
      </c>
      <c r="C39" t="s">
        <v>100</v>
      </c>
      <c r="D39" t="s">
        <v>6</v>
      </c>
      <c r="E39">
        <v>110</v>
      </c>
      <c r="F39">
        <v>1</v>
      </c>
      <c r="G39">
        <v>0</v>
      </c>
      <c r="H39">
        <v>180</v>
      </c>
      <c r="I39">
        <v>0</v>
      </c>
      <c r="J39">
        <v>14</v>
      </c>
      <c r="K39">
        <v>11</v>
      </c>
      <c r="L39">
        <v>35</v>
      </c>
      <c r="M39">
        <v>25</v>
      </c>
    </row>
    <row r="40" spans="1:13" x14ac:dyDescent="0.25">
      <c r="A40" t="s">
        <v>4</v>
      </c>
      <c r="B40" t="s">
        <v>47</v>
      </c>
      <c r="C40" t="s">
        <v>97</v>
      </c>
      <c r="D40" t="s">
        <v>6</v>
      </c>
      <c r="E40">
        <v>110</v>
      </c>
      <c r="F40">
        <v>2</v>
      </c>
      <c r="G40">
        <v>1</v>
      </c>
      <c r="H40">
        <v>170</v>
      </c>
      <c r="I40">
        <v>1</v>
      </c>
      <c r="J40">
        <v>17</v>
      </c>
      <c r="K40">
        <v>6</v>
      </c>
      <c r="L40">
        <v>60</v>
      </c>
      <c r="M40">
        <v>100</v>
      </c>
    </row>
    <row r="41" spans="1:13" x14ac:dyDescent="0.25">
      <c r="A41" t="s">
        <v>4</v>
      </c>
      <c r="B41" t="s">
        <v>48</v>
      </c>
      <c r="C41" t="s">
        <v>97</v>
      </c>
      <c r="D41" t="s">
        <v>6</v>
      </c>
      <c r="E41">
        <v>140</v>
      </c>
      <c r="F41">
        <v>3</v>
      </c>
      <c r="G41">
        <v>1</v>
      </c>
      <c r="H41">
        <v>170</v>
      </c>
      <c r="I41">
        <v>2</v>
      </c>
      <c r="J41">
        <v>20</v>
      </c>
      <c r="K41">
        <v>9</v>
      </c>
      <c r="L41">
        <v>95</v>
      </c>
      <c r="M41">
        <v>100</v>
      </c>
    </row>
    <row r="42" spans="1:13" x14ac:dyDescent="0.25">
      <c r="A42" t="s">
        <v>13</v>
      </c>
      <c r="B42" t="s">
        <v>49</v>
      </c>
      <c r="C42" t="s">
        <v>99</v>
      </c>
      <c r="D42" t="s">
        <v>6</v>
      </c>
      <c r="E42">
        <v>110</v>
      </c>
      <c r="F42">
        <v>2</v>
      </c>
      <c r="G42">
        <v>1</v>
      </c>
      <c r="H42">
        <v>260</v>
      </c>
      <c r="I42">
        <v>0</v>
      </c>
      <c r="J42">
        <v>21</v>
      </c>
      <c r="K42">
        <v>3</v>
      </c>
      <c r="L42">
        <v>40</v>
      </c>
      <c r="M42">
        <v>25</v>
      </c>
    </row>
    <row r="43" spans="1:13" x14ac:dyDescent="0.25">
      <c r="A43" t="s">
        <v>13</v>
      </c>
      <c r="B43" t="s">
        <v>50</v>
      </c>
      <c r="C43" t="s">
        <v>96</v>
      </c>
      <c r="D43" t="s">
        <v>6</v>
      </c>
      <c r="E43">
        <v>100</v>
      </c>
      <c r="F43">
        <v>4</v>
      </c>
      <c r="G43">
        <v>2</v>
      </c>
      <c r="H43">
        <v>150</v>
      </c>
      <c r="I43">
        <v>2</v>
      </c>
      <c r="J43">
        <v>12</v>
      </c>
      <c r="K43">
        <v>6</v>
      </c>
      <c r="L43">
        <v>95</v>
      </c>
      <c r="M43">
        <v>25</v>
      </c>
    </row>
    <row r="44" spans="1:13" x14ac:dyDescent="0.25">
      <c r="A44" t="s">
        <v>13</v>
      </c>
      <c r="B44" t="s">
        <v>51</v>
      </c>
      <c r="C44" t="s">
        <v>99</v>
      </c>
      <c r="D44" t="s">
        <v>6</v>
      </c>
      <c r="E44">
        <v>110</v>
      </c>
      <c r="F44">
        <v>2</v>
      </c>
      <c r="G44">
        <v>1</v>
      </c>
      <c r="H44">
        <v>180</v>
      </c>
      <c r="I44">
        <v>0</v>
      </c>
      <c r="J44">
        <v>12</v>
      </c>
      <c r="K44">
        <v>12</v>
      </c>
      <c r="L44">
        <v>55</v>
      </c>
      <c r="M44">
        <v>25</v>
      </c>
    </row>
    <row r="45" spans="1:13" x14ac:dyDescent="0.25">
      <c r="A45" t="s">
        <v>13</v>
      </c>
      <c r="B45" t="s">
        <v>52</v>
      </c>
      <c r="C45" t="s">
        <v>101</v>
      </c>
      <c r="D45" t="s">
        <v>29</v>
      </c>
      <c r="E45">
        <v>100</v>
      </c>
      <c r="F45">
        <v>4</v>
      </c>
      <c r="G45">
        <v>1</v>
      </c>
      <c r="H45">
        <v>0</v>
      </c>
      <c r="I45">
        <v>0</v>
      </c>
      <c r="J45">
        <v>16</v>
      </c>
      <c r="K45">
        <v>3</v>
      </c>
      <c r="L45">
        <v>95</v>
      </c>
      <c r="M45">
        <v>25</v>
      </c>
    </row>
    <row r="46" spans="1:13" x14ac:dyDescent="0.25">
      <c r="A46" t="s">
        <v>4</v>
      </c>
      <c r="B46" t="s">
        <v>53</v>
      </c>
      <c r="C46" t="s">
        <v>98</v>
      </c>
      <c r="D46" t="s">
        <v>6</v>
      </c>
      <c r="E46">
        <v>150</v>
      </c>
      <c r="F46">
        <v>4</v>
      </c>
      <c r="G46">
        <v>3</v>
      </c>
      <c r="H46">
        <v>95</v>
      </c>
      <c r="I46">
        <v>3</v>
      </c>
      <c r="J46">
        <v>16</v>
      </c>
      <c r="K46">
        <v>11</v>
      </c>
      <c r="L46">
        <v>170</v>
      </c>
      <c r="M46">
        <v>25</v>
      </c>
    </row>
    <row r="47" spans="1:13" x14ac:dyDescent="0.25">
      <c r="A47" t="s">
        <v>4</v>
      </c>
      <c r="B47" t="s">
        <v>54</v>
      </c>
      <c r="C47" t="s">
        <v>98</v>
      </c>
      <c r="D47" t="s">
        <v>6</v>
      </c>
      <c r="E47">
        <v>150</v>
      </c>
      <c r="F47">
        <v>4</v>
      </c>
      <c r="G47">
        <v>3</v>
      </c>
      <c r="H47">
        <v>150</v>
      </c>
      <c r="I47">
        <v>3</v>
      </c>
      <c r="J47">
        <v>16</v>
      </c>
      <c r="K47">
        <v>11</v>
      </c>
      <c r="L47">
        <v>170</v>
      </c>
      <c r="M47">
        <v>25</v>
      </c>
    </row>
    <row r="48" spans="1:13" x14ac:dyDescent="0.25">
      <c r="A48" t="s">
        <v>4</v>
      </c>
      <c r="B48" t="s">
        <v>55</v>
      </c>
      <c r="C48" t="s">
        <v>97</v>
      </c>
      <c r="D48" t="s">
        <v>6</v>
      </c>
      <c r="E48">
        <v>160</v>
      </c>
      <c r="F48">
        <v>3</v>
      </c>
      <c r="G48">
        <v>2</v>
      </c>
      <c r="H48">
        <v>150</v>
      </c>
      <c r="I48">
        <v>3</v>
      </c>
      <c r="J48">
        <v>17</v>
      </c>
      <c r="K48">
        <v>13</v>
      </c>
      <c r="L48">
        <v>160</v>
      </c>
      <c r="M48">
        <v>25</v>
      </c>
    </row>
    <row r="49" spans="1:13" x14ac:dyDescent="0.25">
      <c r="A49" t="s">
        <v>11</v>
      </c>
      <c r="B49" t="s">
        <v>56</v>
      </c>
      <c r="C49" t="s">
        <v>99</v>
      </c>
      <c r="D49" t="s">
        <v>6</v>
      </c>
      <c r="E49">
        <v>100</v>
      </c>
      <c r="F49">
        <v>2</v>
      </c>
      <c r="G49">
        <v>1</v>
      </c>
      <c r="H49">
        <v>220</v>
      </c>
      <c r="I49">
        <v>2</v>
      </c>
      <c r="J49">
        <v>15</v>
      </c>
      <c r="K49">
        <v>6</v>
      </c>
      <c r="L49">
        <v>90</v>
      </c>
      <c r="M49">
        <v>25</v>
      </c>
    </row>
    <row r="50" spans="1:13" x14ac:dyDescent="0.25">
      <c r="A50" t="s">
        <v>13</v>
      </c>
      <c r="B50" t="s">
        <v>57</v>
      </c>
      <c r="C50" t="s">
        <v>97</v>
      </c>
      <c r="D50" t="s">
        <v>6</v>
      </c>
      <c r="E50">
        <v>120</v>
      </c>
      <c r="F50">
        <v>2</v>
      </c>
      <c r="G50">
        <v>1</v>
      </c>
      <c r="H50">
        <v>190</v>
      </c>
      <c r="I50">
        <v>0</v>
      </c>
      <c r="J50">
        <v>15</v>
      </c>
      <c r="K50">
        <v>9</v>
      </c>
      <c r="L50">
        <v>40</v>
      </c>
      <c r="M50">
        <v>25</v>
      </c>
    </row>
    <row r="51" spans="1:13" x14ac:dyDescent="0.25">
      <c r="A51" t="s">
        <v>4</v>
      </c>
      <c r="B51" t="s">
        <v>58</v>
      </c>
      <c r="C51" t="s">
        <v>97</v>
      </c>
      <c r="D51" t="s">
        <v>6</v>
      </c>
      <c r="E51">
        <v>140</v>
      </c>
      <c r="F51">
        <v>3</v>
      </c>
      <c r="G51">
        <v>2</v>
      </c>
      <c r="H51">
        <v>220</v>
      </c>
      <c r="I51">
        <v>3</v>
      </c>
      <c r="J51">
        <v>21</v>
      </c>
      <c r="K51">
        <v>7</v>
      </c>
      <c r="L51">
        <v>130</v>
      </c>
      <c r="M51">
        <v>25</v>
      </c>
    </row>
    <row r="52" spans="1:13" x14ac:dyDescent="0.25">
      <c r="A52" t="s">
        <v>4</v>
      </c>
      <c r="B52" t="s">
        <v>59</v>
      </c>
      <c r="C52" t="s">
        <v>97</v>
      </c>
      <c r="D52" t="s">
        <v>6</v>
      </c>
      <c r="E52">
        <v>90</v>
      </c>
      <c r="F52">
        <v>3</v>
      </c>
      <c r="G52">
        <v>0</v>
      </c>
      <c r="H52">
        <v>170</v>
      </c>
      <c r="I52">
        <v>3</v>
      </c>
      <c r="J52">
        <v>18</v>
      </c>
      <c r="K52">
        <v>2</v>
      </c>
      <c r="L52">
        <v>90</v>
      </c>
      <c r="M52">
        <v>25</v>
      </c>
    </row>
    <row r="53" spans="1:13" x14ac:dyDescent="0.25">
      <c r="A53" t="s">
        <v>4</v>
      </c>
      <c r="B53" t="s">
        <v>60</v>
      </c>
      <c r="C53" t="s">
        <v>99</v>
      </c>
      <c r="D53" t="s">
        <v>6</v>
      </c>
      <c r="E53">
        <v>130</v>
      </c>
      <c r="F53">
        <v>3</v>
      </c>
      <c r="G53">
        <v>2</v>
      </c>
      <c r="H53">
        <v>170</v>
      </c>
      <c r="I53">
        <v>1.5</v>
      </c>
      <c r="J53">
        <v>13.5</v>
      </c>
      <c r="K53">
        <v>10</v>
      </c>
      <c r="L53">
        <v>120</v>
      </c>
      <c r="M53">
        <v>25</v>
      </c>
    </row>
    <row r="54" spans="1:13" x14ac:dyDescent="0.25">
      <c r="A54" t="s">
        <v>4</v>
      </c>
      <c r="B54" t="s">
        <v>61</v>
      </c>
      <c r="C54" t="s">
        <v>100</v>
      </c>
      <c r="D54" t="s">
        <v>6</v>
      </c>
      <c r="E54">
        <v>120</v>
      </c>
      <c r="F54">
        <v>3</v>
      </c>
      <c r="G54">
        <v>1</v>
      </c>
      <c r="H54">
        <v>200</v>
      </c>
      <c r="I54">
        <v>6</v>
      </c>
      <c r="J54">
        <v>11</v>
      </c>
      <c r="K54">
        <v>14</v>
      </c>
      <c r="L54">
        <v>260</v>
      </c>
      <c r="M54">
        <v>25</v>
      </c>
    </row>
    <row r="55" spans="1:13" x14ac:dyDescent="0.25">
      <c r="A55" t="s">
        <v>4</v>
      </c>
      <c r="B55" t="s">
        <v>62</v>
      </c>
      <c r="C55" t="s">
        <v>97</v>
      </c>
      <c r="D55" t="s">
        <v>6</v>
      </c>
      <c r="E55">
        <v>100</v>
      </c>
      <c r="F55">
        <v>3</v>
      </c>
      <c r="G55">
        <v>0</v>
      </c>
      <c r="H55">
        <v>320</v>
      </c>
      <c r="I55">
        <v>1</v>
      </c>
      <c r="J55">
        <v>20</v>
      </c>
      <c r="K55">
        <v>3</v>
      </c>
      <c r="L55">
        <v>45</v>
      </c>
      <c r="M55">
        <v>100</v>
      </c>
    </row>
    <row r="56" spans="1:13" x14ac:dyDescent="0.25">
      <c r="A56" t="s">
        <v>4</v>
      </c>
      <c r="B56" t="s">
        <v>63</v>
      </c>
      <c r="C56" t="s">
        <v>96</v>
      </c>
      <c r="D56" t="s">
        <v>6</v>
      </c>
      <c r="E56">
        <v>50</v>
      </c>
      <c r="F56">
        <v>1</v>
      </c>
      <c r="G56">
        <v>0</v>
      </c>
      <c r="H56">
        <v>0</v>
      </c>
      <c r="I56">
        <v>0</v>
      </c>
      <c r="J56">
        <v>13</v>
      </c>
      <c r="K56">
        <v>0</v>
      </c>
      <c r="L56">
        <v>15</v>
      </c>
      <c r="M56">
        <v>0</v>
      </c>
    </row>
    <row r="57" spans="1:13" x14ac:dyDescent="0.25">
      <c r="A57" t="s">
        <v>4</v>
      </c>
      <c r="B57" t="s">
        <v>64</v>
      </c>
      <c r="C57" t="s">
        <v>96</v>
      </c>
      <c r="D57" t="s">
        <v>6</v>
      </c>
      <c r="E57">
        <v>50</v>
      </c>
      <c r="F57">
        <v>2</v>
      </c>
      <c r="G57">
        <v>0</v>
      </c>
      <c r="H57">
        <v>0</v>
      </c>
      <c r="I57">
        <v>1</v>
      </c>
      <c r="J57">
        <v>10</v>
      </c>
      <c r="K57">
        <v>0</v>
      </c>
      <c r="L57">
        <v>50</v>
      </c>
      <c r="M57">
        <v>0</v>
      </c>
    </row>
    <row r="58" spans="1:13" x14ac:dyDescent="0.25">
      <c r="A58" t="s">
        <v>4</v>
      </c>
      <c r="B58" t="s">
        <v>65</v>
      </c>
      <c r="C58" t="s">
        <v>96</v>
      </c>
      <c r="D58" t="s">
        <v>6</v>
      </c>
      <c r="E58">
        <v>100</v>
      </c>
      <c r="F58">
        <v>4</v>
      </c>
      <c r="G58">
        <v>1</v>
      </c>
      <c r="H58">
        <v>135</v>
      </c>
      <c r="I58">
        <v>2</v>
      </c>
      <c r="J58">
        <v>14</v>
      </c>
      <c r="K58">
        <v>6</v>
      </c>
      <c r="L58">
        <v>110</v>
      </c>
      <c r="M58">
        <v>25</v>
      </c>
    </row>
    <row r="59" spans="1:13" x14ac:dyDescent="0.25">
      <c r="A59" t="s">
        <v>11</v>
      </c>
      <c r="B59" t="s">
        <v>66</v>
      </c>
      <c r="C59" t="s">
        <v>96</v>
      </c>
      <c r="D59" t="s">
        <v>29</v>
      </c>
      <c r="E59">
        <v>100</v>
      </c>
      <c r="F59">
        <v>5</v>
      </c>
      <c r="G59">
        <v>2</v>
      </c>
      <c r="H59">
        <v>0</v>
      </c>
      <c r="I59">
        <v>2.7</v>
      </c>
      <c r="L59">
        <v>110</v>
      </c>
      <c r="M59">
        <v>0</v>
      </c>
    </row>
    <row r="60" spans="1:13" x14ac:dyDescent="0.25">
      <c r="A60" t="s">
        <v>13</v>
      </c>
      <c r="B60" t="s">
        <v>67</v>
      </c>
      <c r="C60" t="s">
        <v>97</v>
      </c>
      <c r="D60" t="s">
        <v>6</v>
      </c>
      <c r="E60">
        <v>120</v>
      </c>
      <c r="F60">
        <v>3</v>
      </c>
      <c r="G60">
        <v>1</v>
      </c>
      <c r="H60">
        <v>210</v>
      </c>
      <c r="I60">
        <v>5</v>
      </c>
      <c r="J60">
        <v>14</v>
      </c>
      <c r="K60">
        <v>12</v>
      </c>
      <c r="L60">
        <v>240</v>
      </c>
      <c r="M60">
        <v>25</v>
      </c>
    </row>
    <row r="61" spans="1:13" x14ac:dyDescent="0.25">
      <c r="A61" t="s">
        <v>4</v>
      </c>
      <c r="B61" t="s">
        <v>68</v>
      </c>
      <c r="C61" t="s">
        <v>99</v>
      </c>
      <c r="D61" t="s">
        <v>6</v>
      </c>
      <c r="E61">
        <v>100</v>
      </c>
      <c r="F61">
        <v>3</v>
      </c>
      <c r="G61">
        <v>2</v>
      </c>
      <c r="H61">
        <v>140</v>
      </c>
      <c r="I61">
        <v>2.5</v>
      </c>
      <c r="J61">
        <v>10.5</v>
      </c>
      <c r="K61">
        <v>8</v>
      </c>
      <c r="L61">
        <v>140</v>
      </c>
      <c r="M61">
        <v>25</v>
      </c>
    </row>
    <row r="62" spans="1:13" x14ac:dyDescent="0.25">
      <c r="A62" t="s">
        <v>4</v>
      </c>
      <c r="B62" t="s">
        <v>69</v>
      </c>
      <c r="C62" t="s">
        <v>97</v>
      </c>
      <c r="D62" t="s">
        <v>6</v>
      </c>
      <c r="E62">
        <v>90</v>
      </c>
      <c r="F62">
        <v>2</v>
      </c>
      <c r="G62">
        <v>0</v>
      </c>
      <c r="H62">
        <v>0</v>
      </c>
      <c r="I62">
        <v>2</v>
      </c>
      <c r="J62">
        <v>15</v>
      </c>
      <c r="K62">
        <v>6</v>
      </c>
      <c r="L62">
        <v>110</v>
      </c>
      <c r="M62">
        <v>25</v>
      </c>
    </row>
    <row r="63" spans="1:13" x14ac:dyDescent="0.25">
      <c r="A63" t="s">
        <v>11</v>
      </c>
      <c r="B63" t="s">
        <v>70</v>
      </c>
      <c r="C63" t="s">
        <v>98</v>
      </c>
      <c r="D63" t="s">
        <v>6</v>
      </c>
      <c r="E63">
        <v>110</v>
      </c>
      <c r="F63">
        <v>1</v>
      </c>
      <c r="G63">
        <v>0</v>
      </c>
      <c r="H63">
        <v>240</v>
      </c>
      <c r="I63">
        <v>0</v>
      </c>
      <c r="J63">
        <v>23</v>
      </c>
      <c r="K63">
        <v>2</v>
      </c>
      <c r="L63">
        <v>30</v>
      </c>
      <c r="M63">
        <v>25</v>
      </c>
    </row>
    <row r="64" spans="1:13" x14ac:dyDescent="0.25">
      <c r="A64" t="s">
        <v>11</v>
      </c>
      <c r="B64" t="s">
        <v>71</v>
      </c>
      <c r="C64" t="s">
        <v>97</v>
      </c>
      <c r="D64" t="s">
        <v>6</v>
      </c>
      <c r="E64">
        <v>110</v>
      </c>
      <c r="F64">
        <v>2</v>
      </c>
      <c r="G64">
        <v>0</v>
      </c>
      <c r="H64">
        <v>290</v>
      </c>
      <c r="I64">
        <v>0</v>
      </c>
      <c r="J64">
        <v>22</v>
      </c>
      <c r="K64">
        <v>3</v>
      </c>
      <c r="L64">
        <v>35</v>
      </c>
      <c r="M64">
        <v>25</v>
      </c>
    </row>
    <row r="65" spans="1:13" x14ac:dyDescent="0.25">
      <c r="A65" t="s">
        <v>11</v>
      </c>
      <c r="B65" t="s">
        <v>72</v>
      </c>
      <c r="C65" t="s">
        <v>95</v>
      </c>
      <c r="D65" t="s">
        <v>6</v>
      </c>
      <c r="E65">
        <v>80</v>
      </c>
      <c r="F65">
        <v>2</v>
      </c>
      <c r="G65">
        <v>0</v>
      </c>
      <c r="H65">
        <v>0</v>
      </c>
      <c r="I65">
        <v>3</v>
      </c>
      <c r="J65">
        <v>16</v>
      </c>
      <c r="K65">
        <v>0</v>
      </c>
      <c r="L65">
        <v>95</v>
      </c>
      <c r="M65">
        <v>0</v>
      </c>
    </row>
    <row r="66" spans="1:13" x14ac:dyDescent="0.25">
      <c r="A66" t="s">
        <v>11</v>
      </c>
      <c r="B66" t="s">
        <v>73</v>
      </c>
      <c r="C66" t="s">
        <v>95</v>
      </c>
      <c r="D66" t="s">
        <v>6</v>
      </c>
      <c r="E66">
        <v>90</v>
      </c>
      <c r="F66">
        <v>3</v>
      </c>
      <c r="G66">
        <v>0</v>
      </c>
      <c r="H66">
        <v>0</v>
      </c>
      <c r="I66">
        <v>4</v>
      </c>
      <c r="J66">
        <v>19</v>
      </c>
      <c r="K66">
        <v>0</v>
      </c>
      <c r="L66">
        <v>140</v>
      </c>
      <c r="M66">
        <v>0</v>
      </c>
    </row>
    <row r="67" spans="1:13" x14ac:dyDescent="0.25">
      <c r="A67" t="s">
        <v>11</v>
      </c>
      <c r="B67" t="s">
        <v>74</v>
      </c>
      <c r="C67" t="s">
        <v>95</v>
      </c>
      <c r="D67" t="s">
        <v>6</v>
      </c>
      <c r="E67">
        <v>90</v>
      </c>
      <c r="F67">
        <v>3</v>
      </c>
      <c r="G67">
        <v>0</v>
      </c>
      <c r="H67">
        <v>0</v>
      </c>
      <c r="I67">
        <v>3</v>
      </c>
      <c r="J67">
        <v>20</v>
      </c>
      <c r="K67">
        <v>0</v>
      </c>
      <c r="L67">
        <v>120</v>
      </c>
      <c r="M67">
        <v>0</v>
      </c>
    </row>
    <row r="68" spans="1:13" x14ac:dyDescent="0.25">
      <c r="A68" t="s">
        <v>13</v>
      </c>
      <c r="B68" t="s">
        <v>75</v>
      </c>
      <c r="C68" t="s">
        <v>97</v>
      </c>
      <c r="D68" t="s">
        <v>6</v>
      </c>
      <c r="E68">
        <v>110</v>
      </c>
      <c r="F68">
        <v>2</v>
      </c>
      <c r="G68">
        <v>1</v>
      </c>
      <c r="H68">
        <v>70</v>
      </c>
      <c r="I68">
        <v>1</v>
      </c>
      <c r="J68">
        <v>9</v>
      </c>
      <c r="K68">
        <v>15</v>
      </c>
      <c r="L68">
        <v>40</v>
      </c>
      <c r="M68">
        <v>25</v>
      </c>
    </row>
    <row r="69" spans="1:13" x14ac:dyDescent="0.25">
      <c r="A69" t="s">
        <v>11</v>
      </c>
      <c r="B69" t="s">
        <v>76</v>
      </c>
      <c r="C69" t="s">
        <v>97</v>
      </c>
      <c r="D69" t="s">
        <v>6</v>
      </c>
      <c r="E69">
        <v>110</v>
      </c>
      <c r="F69">
        <v>6</v>
      </c>
      <c r="G69">
        <v>0</v>
      </c>
      <c r="H69">
        <v>230</v>
      </c>
      <c r="I69">
        <v>1</v>
      </c>
      <c r="J69">
        <v>16</v>
      </c>
      <c r="K69">
        <v>3</v>
      </c>
      <c r="L69">
        <v>55</v>
      </c>
      <c r="M69">
        <v>25</v>
      </c>
    </row>
    <row r="70" spans="1:13" x14ac:dyDescent="0.25">
      <c r="A70" t="s">
        <v>13</v>
      </c>
      <c r="B70" t="s">
        <v>77</v>
      </c>
      <c r="C70" t="s">
        <v>95</v>
      </c>
      <c r="D70" t="s">
        <v>6</v>
      </c>
      <c r="E70">
        <v>90</v>
      </c>
      <c r="F70">
        <v>2</v>
      </c>
      <c r="G70">
        <v>0</v>
      </c>
      <c r="H70">
        <v>15</v>
      </c>
      <c r="I70">
        <v>3</v>
      </c>
      <c r="J70">
        <v>15</v>
      </c>
      <c r="K70">
        <v>5</v>
      </c>
      <c r="L70">
        <v>90</v>
      </c>
      <c r="M70">
        <v>25</v>
      </c>
    </row>
    <row r="71" spans="1:13" x14ac:dyDescent="0.25">
      <c r="A71" t="s">
        <v>4</v>
      </c>
      <c r="B71" t="s">
        <v>78</v>
      </c>
      <c r="C71" t="s">
        <v>99</v>
      </c>
      <c r="D71" t="s">
        <v>6</v>
      </c>
      <c r="E71">
        <v>110</v>
      </c>
      <c r="F71">
        <v>2</v>
      </c>
      <c r="G71">
        <v>1</v>
      </c>
      <c r="H71">
        <v>200</v>
      </c>
      <c r="I71">
        <v>0</v>
      </c>
      <c r="J71">
        <v>21</v>
      </c>
      <c r="K71">
        <v>3</v>
      </c>
      <c r="L71">
        <v>35</v>
      </c>
      <c r="M71">
        <v>100</v>
      </c>
    </row>
    <row r="72" spans="1:13" x14ac:dyDescent="0.25">
      <c r="A72" t="s">
        <v>4</v>
      </c>
      <c r="B72" t="s">
        <v>79</v>
      </c>
      <c r="C72" t="s">
        <v>99</v>
      </c>
      <c r="D72" t="s">
        <v>6</v>
      </c>
      <c r="E72">
        <v>140</v>
      </c>
      <c r="F72">
        <v>3</v>
      </c>
      <c r="G72">
        <v>1</v>
      </c>
      <c r="H72">
        <v>190</v>
      </c>
      <c r="I72">
        <v>4</v>
      </c>
      <c r="J72">
        <v>15</v>
      </c>
      <c r="K72">
        <v>14</v>
      </c>
      <c r="L72">
        <v>230</v>
      </c>
      <c r="M72">
        <v>100</v>
      </c>
    </row>
    <row r="73" spans="1:13" x14ac:dyDescent="0.25">
      <c r="A73" t="s">
        <v>4</v>
      </c>
      <c r="B73" t="s">
        <v>80</v>
      </c>
      <c r="C73" t="s">
        <v>99</v>
      </c>
      <c r="D73" t="s">
        <v>6</v>
      </c>
      <c r="E73">
        <v>100</v>
      </c>
      <c r="F73">
        <v>3</v>
      </c>
      <c r="G73">
        <v>1</v>
      </c>
      <c r="H73">
        <v>200</v>
      </c>
      <c r="I73">
        <v>3</v>
      </c>
      <c r="J73">
        <v>16</v>
      </c>
      <c r="K73">
        <v>3</v>
      </c>
      <c r="L73">
        <v>110</v>
      </c>
      <c r="M73">
        <v>100</v>
      </c>
    </row>
    <row r="74" spans="1:13" x14ac:dyDescent="0.25">
      <c r="A74" t="s">
        <v>4</v>
      </c>
      <c r="B74" t="s">
        <v>81</v>
      </c>
      <c r="C74" t="s">
        <v>99</v>
      </c>
      <c r="D74" t="s">
        <v>6</v>
      </c>
      <c r="E74">
        <v>110</v>
      </c>
      <c r="F74">
        <v>2</v>
      </c>
      <c r="G74">
        <v>1</v>
      </c>
      <c r="H74">
        <v>250</v>
      </c>
      <c r="I74">
        <v>0</v>
      </c>
      <c r="J74">
        <v>21</v>
      </c>
      <c r="K74">
        <v>3</v>
      </c>
      <c r="L74">
        <v>60</v>
      </c>
      <c r="M74">
        <v>25</v>
      </c>
    </row>
    <row r="75" spans="1:13" x14ac:dyDescent="0.25">
      <c r="A75" t="s">
        <v>13</v>
      </c>
      <c r="B75" t="s">
        <v>82</v>
      </c>
      <c r="C75" t="s">
        <v>99</v>
      </c>
      <c r="D75" t="s">
        <v>6</v>
      </c>
      <c r="E75">
        <v>110</v>
      </c>
      <c r="F75">
        <v>1</v>
      </c>
      <c r="G75">
        <v>1</v>
      </c>
      <c r="H75">
        <v>140</v>
      </c>
      <c r="I75">
        <v>0</v>
      </c>
      <c r="J75">
        <v>13</v>
      </c>
      <c r="K75">
        <v>12</v>
      </c>
      <c r="L75">
        <v>25</v>
      </c>
      <c r="M75">
        <v>25</v>
      </c>
    </row>
    <row r="76" spans="1:13" x14ac:dyDescent="0.25">
      <c r="A76" t="s">
        <v>11</v>
      </c>
      <c r="B76" t="s">
        <v>83</v>
      </c>
      <c r="C76" t="s">
        <v>98</v>
      </c>
      <c r="D76" t="s">
        <v>6</v>
      </c>
      <c r="E76">
        <v>100</v>
      </c>
      <c r="F76">
        <v>3</v>
      </c>
      <c r="G76">
        <v>1</v>
      </c>
      <c r="H76">
        <v>230</v>
      </c>
      <c r="I76">
        <v>3</v>
      </c>
      <c r="J76">
        <v>17</v>
      </c>
      <c r="K76">
        <v>3</v>
      </c>
      <c r="L76">
        <v>115</v>
      </c>
      <c r="M76">
        <v>25</v>
      </c>
    </row>
    <row r="77" spans="1:13" x14ac:dyDescent="0.25">
      <c r="A77" t="s">
        <v>11</v>
      </c>
      <c r="B77" t="s">
        <v>84</v>
      </c>
      <c r="C77" t="s">
        <v>99</v>
      </c>
      <c r="D77" t="s">
        <v>6</v>
      </c>
      <c r="E77">
        <v>100</v>
      </c>
      <c r="F77">
        <v>3</v>
      </c>
      <c r="G77">
        <v>1</v>
      </c>
      <c r="H77">
        <v>200</v>
      </c>
      <c r="I77">
        <v>3</v>
      </c>
      <c r="J77">
        <v>17</v>
      </c>
      <c r="K77">
        <v>3</v>
      </c>
      <c r="L77">
        <v>110</v>
      </c>
      <c r="M77">
        <v>25</v>
      </c>
    </row>
    <row r="78" spans="1:13" x14ac:dyDescent="0.25">
      <c r="A78" t="s">
        <v>11</v>
      </c>
      <c r="B78" t="s">
        <v>85</v>
      </c>
      <c r="C78" t="s">
        <v>99</v>
      </c>
      <c r="D78" t="s">
        <v>6</v>
      </c>
      <c r="E78">
        <v>110</v>
      </c>
      <c r="F78">
        <v>2</v>
      </c>
      <c r="G78">
        <v>1</v>
      </c>
      <c r="H78">
        <v>200</v>
      </c>
      <c r="I78">
        <v>1</v>
      </c>
      <c r="J78">
        <v>16</v>
      </c>
      <c r="K78">
        <v>8</v>
      </c>
      <c r="L78">
        <v>60</v>
      </c>
      <c r="M78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57FB6-3716-4BD5-AD67-8D9D7A634AC2}">
  <dimension ref="A1:F10"/>
  <sheetViews>
    <sheetView tabSelected="1" workbookViewId="0">
      <selection activeCell="H32" sqref="H32"/>
    </sheetView>
  </sheetViews>
  <sheetFormatPr defaultRowHeight="15" x14ac:dyDescent="0.25"/>
  <cols>
    <col min="1" max="1" width="17.140625" bestFit="1" customWidth="1"/>
    <col min="2" max="2" width="6.28515625" bestFit="1" customWidth="1"/>
    <col min="4" max="4" width="20.5703125" bestFit="1" customWidth="1"/>
  </cols>
  <sheetData>
    <row r="1" spans="1:6" x14ac:dyDescent="0.25">
      <c r="A1" s="1" t="s">
        <v>93</v>
      </c>
      <c r="B1" t="s">
        <v>109</v>
      </c>
      <c r="C1" t="s">
        <v>124</v>
      </c>
      <c r="D1" t="s">
        <v>125</v>
      </c>
    </row>
    <row r="2" spans="1:6" x14ac:dyDescent="0.25">
      <c r="A2" s="2" t="s">
        <v>103</v>
      </c>
      <c r="B2" s="3">
        <v>23</v>
      </c>
      <c r="C2">
        <v>24.5</v>
      </c>
      <c r="D2">
        <v>563.5</v>
      </c>
    </row>
    <row r="3" spans="1:6" x14ac:dyDescent="0.25">
      <c r="A3" s="2" t="s">
        <v>104</v>
      </c>
      <c r="B3" s="3">
        <v>20</v>
      </c>
      <c r="C3">
        <v>74.5</v>
      </c>
      <c r="D3">
        <v>1490</v>
      </c>
    </row>
    <row r="4" spans="1:6" x14ac:dyDescent="0.25">
      <c r="A4" s="2" t="s">
        <v>105</v>
      </c>
      <c r="B4" s="3">
        <v>19</v>
      </c>
      <c r="C4">
        <v>124.5</v>
      </c>
      <c r="D4">
        <v>2365.5</v>
      </c>
    </row>
    <row r="5" spans="1:6" x14ac:dyDescent="0.25">
      <c r="A5" s="2" t="s">
        <v>106</v>
      </c>
      <c r="B5" s="3">
        <v>6</v>
      </c>
      <c r="C5">
        <v>174.5</v>
      </c>
      <c r="D5">
        <v>1047</v>
      </c>
    </row>
    <row r="6" spans="1:6" x14ac:dyDescent="0.25">
      <c r="A6" s="2" t="s">
        <v>107</v>
      </c>
      <c r="B6" s="3">
        <v>3</v>
      </c>
      <c r="C6">
        <v>224.5</v>
      </c>
      <c r="D6">
        <v>673.5</v>
      </c>
    </row>
    <row r="7" spans="1:6" x14ac:dyDescent="0.25">
      <c r="A7" s="2" t="s">
        <v>108</v>
      </c>
      <c r="B7" s="3">
        <v>2</v>
      </c>
      <c r="C7">
        <v>274.5</v>
      </c>
      <c r="D7">
        <v>549</v>
      </c>
    </row>
    <row r="8" spans="1:6" x14ac:dyDescent="0.25">
      <c r="A8" s="2" t="s">
        <v>110</v>
      </c>
      <c r="B8" s="3">
        <v>2</v>
      </c>
      <c r="C8">
        <v>324.5</v>
      </c>
      <c r="D8">
        <v>649</v>
      </c>
    </row>
    <row r="9" spans="1:6" x14ac:dyDescent="0.25">
      <c r="A9" s="2" t="s">
        <v>102</v>
      </c>
      <c r="B9" s="3">
        <v>75</v>
      </c>
    </row>
    <row r="10" spans="1:6" x14ac:dyDescent="0.25">
      <c r="D10">
        <f>SUM(D2:D8)</f>
        <v>7337.5</v>
      </c>
      <c r="F10">
        <f>D10/75</f>
        <v>97.833333333333329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D2601-B45B-43D8-9E62-130595FA7450}">
  <dimension ref="A1:B9"/>
  <sheetViews>
    <sheetView workbookViewId="0">
      <selection activeCell="Q13" sqref="Q13"/>
    </sheetView>
  </sheetViews>
  <sheetFormatPr defaultRowHeight="15" x14ac:dyDescent="0.25"/>
  <cols>
    <col min="1" max="1" width="15.5703125" bestFit="1" customWidth="1"/>
    <col min="2" max="2" width="18.28515625" bestFit="1" customWidth="1"/>
  </cols>
  <sheetData>
    <row r="1" spans="1:2" x14ac:dyDescent="0.25">
      <c r="A1" s="1" t="s">
        <v>2</v>
      </c>
      <c r="B1" t="s">
        <v>111</v>
      </c>
    </row>
    <row r="2" spans="1:2" x14ac:dyDescent="0.25">
      <c r="A2" s="2" t="s">
        <v>101</v>
      </c>
      <c r="B2" s="4">
        <v>1.2987012987012988E-2</v>
      </c>
    </row>
    <row r="3" spans="1:2" x14ac:dyDescent="0.25">
      <c r="A3" s="2" t="s">
        <v>99</v>
      </c>
      <c r="B3" s="4">
        <v>0.2857142857142857</v>
      </c>
    </row>
    <row r="4" spans="1:2" x14ac:dyDescent="0.25">
      <c r="A4" s="2" t="s">
        <v>97</v>
      </c>
      <c r="B4" s="4">
        <v>0.29870129870129869</v>
      </c>
    </row>
    <row r="5" spans="1:2" x14ac:dyDescent="0.25">
      <c r="A5" s="2" t="s">
        <v>95</v>
      </c>
      <c r="B5" s="4">
        <v>7.792207792207792E-2</v>
      </c>
    </row>
    <row r="6" spans="1:2" x14ac:dyDescent="0.25">
      <c r="A6" s="2" t="s">
        <v>100</v>
      </c>
      <c r="B6" s="4">
        <v>0.11688311688311688</v>
      </c>
    </row>
    <row r="7" spans="1:2" x14ac:dyDescent="0.25">
      <c r="A7" s="2" t="s">
        <v>96</v>
      </c>
      <c r="B7" s="4">
        <v>0.1038961038961039</v>
      </c>
    </row>
    <row r="8" spans="1:2" x14ac:dyDescent="0.25">
      <c r="A8" s="2" t="s">
        <v>98</v>
      </c>
      <c r="B8" s="4">
        <v>0.1038961038961039</v>
      </c>
    </row>
    <row r="9" spans="1:2" x14ac:dyDescent="0.25">
      <c r="A9" s="2" t="s">
        <v>102</v>
      </c>
      <c r="B9" s="4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00ACE-270B-4D1A-BEE4-B5DD462F436D}">
  <dimension ref="A1:B15"/>
  <sheetViews>
    <sheetView workbookViewId="0">
      <selection activeCell="C24" sqref="C24"/>
    </sheetView>
  </sheetViews>
  <sheetFormatPr defaultRowHeight="15" x14ac:dyDescent="0.25"/>
  <cols>
    <col min="1" max="1" width="18.140625" bestFit="1" customWidth="1"/>
    <col min="2" max="2" width="12.7109375" bestFit="1" customWidth="1"/>
  </cols>
  <sheetData>
    <row r="1" spans="1:2" x14ac:dyDescent="0.25">
      <c r="A1" s="7" t="s">
        <v>92</v>
      </c>
      <c r="B1" s="7"/>
    </row>
    <row r="2" spans="1:2" x14ac:dyDescent="0.25">
      <c r="A2" s="5"/>
      <c r="B2" s="5"/>
    </row>
    <row r="3" spans="1:2" x14ac:dyDescent="0.25">
      <c r="A3" s="5" t="s">
        <v>112</v>
      </c>
      <c r="B3" s="5">
        <v>7.0263157894736841</v>
      </c>
    </row>
    <row r="4" spans="1:2" x14ac:dyDescent="0.25">
      <c r="A4" s="5" t="s">
        <v>113</v>
      </c>
      <c r="B4" s="5">
        <v>0.50226633188383651</v>
      </c>
    </row>
    <row r="5" spans="1:2" x14ac:dyDescent="0.25">
      <c r="A5" s="5" t="s">
        <v>114</v>
      </c>
      <c r="B5" s="5">
        <v>7</v>
      </c>
    </row>
    <row r="6" spans="1:2" x14ac:dyDescent="0.25">
      <c r="A6" s="5" t="s">
        <v>115</v>
      </c>
      <c r="B6" s="5">
        <v>3</v>
      </c>
    </row>
    <row r="7" spans="1:2" x14ac:dyDescent="0.25">
      <c r="A7" s="5" t="s">
        <v>116</v>
      </c>
      <c r="B7" s="5">
        <v>4.3786563668490093</v>
      </c>
    </row>
    <row r="8" spans="1:2" x14ac:dyDescent="0.25">
      <c r="A8" s="5" t="s">
        <v>117</v>
      </c>
      <c r="B8" s="5">
        <v>19.172631578947367</v>
      </c>
    </row>
    <row r="9" spans="1:2" x14ac:dyDescent="0.25">
      <c r="A9" s="5" t="s">
        <v>118</v>
      </c>
      <c r="B9" s="5">
        <v>-1.1533588479807118</v>
      </c>
    </row>
    <row r="10" spans="1:2" x14ac:dyDescent="0.25">
      <c r="A10" s="5" t="s">
        <v>119</v>
      </c>
      <c r="B10" s="5">
        <v>4.4445418302429859E-2</v>
      </c>
    </row>
    <row r="11" spans="1:2" x14ac:dyDescent="0.25">
      <c r="A11" s="5" t="s">
        <v>120</v>
      </c>
      <c r="B11" s="5">
        <v>15</v>
      </c>
    </row>
    <row r="12" spans="1:2" x14ac:dyDescent="0.25">
      <c r="A12" s="5" t="s">
        <v>121</v>
      </c>
      <c r="B12" s="5">
        <v>0</v>
      </c>
    </row>
    <row r="13" spans="1:2" x14ac:dyDescent="0.25">
      <c r="A13" s="5" t="s">
        <v>122</v>
      </c>
      <c r="B13" s="5">
        <v>15</v>
      </c>
    </row>
    <row r="14" spans="1:2" x14ac:dyDescent="0.25">
      <c r="A14" s="5" t="s">
        <v>123</v>
      </c>
      <c r="B14" s="5">
        <v>534</v>
      </c>
    </row>
    <row r="15" spans="1:2" ht="15.75" thickBot="1" x14ac:dyDescent="0.3">
      <c r="A15" s="6" t="s">
        <v>109</v>
      </c>
      <c r="B15" s="6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55DD4-A0B4-49EF-9F21-05EF06A36157}">
  <dimension ref="A1:B15"/>
  <sheetViews>
    <sheetView workbookViewId="0">
      <selection activeCell="H23" sqref="H23"/>
    </sheetView>
  </sheetViews>
  <sheetFormatPr defaultRowHeight="15" x14ac:dyDescent="0.25"/>
  <cols>
    <col min="1" max="1" width="18.140625" bestFit="1" customWidth="1"/>
  </cols>
  <sheetData>
    <row r="1" spans="1:2" x14ac:dyDescent="0.25">
      <c r="A1" s="7" t="s">
        <v>89</v>
      </c>
      <c r="B1" s="7"/>
    </row>
    <row r="2" spans="1:2" x14ac:dyDescent="0.25">
      <c r="A2" s="5"/>
      <c r="B2" s="5"/>
    </row>
    <row r="3" spans="1:2" x14ac:dyDescent="0.25">
      <c r="A3" s="5" t="s">
        <v>112</v>
      </c>
      <c r="B3" s="5">
        <v>159.67532467532467</v>
      </c>
    </row>
    <row r="4" spans="1:2" x14ac:dyDescent="0.25">
      <c r="A4" s="5" t="s">
        <v>113</v>
      </c>
      <c r="B4" s="5">
        <v>9.5535766914955804</v>
      </c>
    </row>
    <row r="5" spans="1:2" x14ac:dyDescent="0.25">
      <c r="A5" s="5" t="s">
        <v>114</v>
      </c>
      <c r="B5" s="5">
        <v>180</v>
      </c>
    </row>
    <row r="6" spans="1:2" x14ac:dyDescent="0.25">
      <c r="A6" s="5" t="s">
        <v>115</v>
      </c>
      <c r="B6" s="5">
        <v>0</v>
      </c>
    </row>
    <row r="7" spans="1:2" x14ac:dyDescent="0.25">
      <c r="A7" s="5" t="s">
        <v>116</v>
      </c>
      <c r="B7" s="5">
        <v>83.832295240093174</v>
      </c>
    </row>
    <row r="8" spans="1:2" x14ac:dyDescent="0.25">
      <c r="A8" s="5" t="s">
        <v>117</v>
      </c>
      <c r="B8" s="5">
        <v>7027.8537252221477</v>
      </c>
    </row>
    <row r="9" spans="1:2" x14ac:dyDescent="0.25">
      <c r="A9" s="5" t="s">
        <v>118</v>
      </c>
      <c r="B9" s="5">
        <v>-0.3452426692102688</v>
      </c>
    </row>
    <row r="10" spans="1:2" x14ac:dyDescent="0.25">
      <c r="A10" s="5" t="s">
        <v>119</v>
      </c>
      <c r="B10" s="5">
        <v>-0.57571135133181883</v>
      </c>
    </row>
    <row r="11" spans="1:2" x14ac:dyDescent="0.25">
      <c r="A11" s="5" t="s">
        <v>120</v>
      </c>
      <c r="B11" s="5">
        <v>320</v>
      </c>
    </row>
    <row r="12" spans="1:2" x14ac:dyDescent="0.25">
      <c r="A12" s="5" t="s">
        <v>121</v>
      </c>
      <c r="B12" s="5">
        <v>0</v>
      </c>
    </row>
    <row r="13" spans="1:2" x14ac:dyDescent="0.25">
      <c r="A13" s="5" t="s">
        <v>122</v>
      </c>
      <c r="B13" s="5">
        <v>320</v>
      </c>
    </row>
    <row r="14" spans="1:2" x14ac:dyDescent="0.25">
      <c r="A14" s="5" t="s">
        <v>123</v>
      </c>
      <c r="B14" s="5">
        <v>12295</v>
      </c>
    </row>
    <row r="15" spans="1:2" ht="15.75" thickBot="1" x14ac:dyDescent="0.3">
      <c r="A15" s="6" t="s">
        <v>109</v>
      </c>
      <c r="B15" s="6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EA9B3-85EB-4FD7-9402-F599EDA17991}">
  <dimension ref="A1:K17"/>
  <sheetViews>
    <sheetView workbookViewId="0">
      <selection activeCell="H24" sqref="H24"/>
    </sheetView>
  </sheetViews>
  <sheetFormatPr defaultRowHeight="15" x14ac:dyDescent="0.25"/>
  <cols>
    <col min="1" max="1" width="18.140625" bestFit="1" customWidth="1"/>
  </cols>
  <sheetData>
    <row r="1" spans="1:2" x14ac:dyDescent="0.25">
      <c r="A1" s="7" t="s">
        <v>93</v>
      </c>
      <c r="B1" s="7"/>
    </row>
    <row r="2" spans="1:2" x14ac:dyDescent="0.25">
      <c r="A2" s="5"/>
      <c r="B2" s="5"/>
    </row>
    <row r="3" spans="1:2" x14ac:dyDescent="0.25">
      <c r="A3" s="5" t="s">
        <v>112</v>
      </c>
      <c r="B3" s="5">
        <v>98.666666666666671</v>
      </c>
    </row>
    <row r="4" spans="1:2" x14ac:dyDescent="0.25">
      <c r="A4" s="5" t="s">
        <v>113</v>
      </c>
      <c r="B4" s="5">
        <v>8.1303199261838444</v>
      </c>
    </row>
    <row r="5" spans="1:2" x14ac:dyDescent="0.25">
      <c r="A5" s="5" t="s">
        <v>114</v>
      </c>
      <c r="B5" s="5">
        <v>90</v>
      </c>
    </row>
    <row r="6" spans="1:2" x14ac:dyDescent="0.25">
      <c r="A6" s="5" t="s">
        <v>115</v>
      </c>
      <c r="B6" s="5">
        <v>35</v>
      </c>
    </row>
    <row r="7" spans="1:2" x14ac:dyDescent="0.25">
      <c r="A7" s="5" t="s">
        <v>116</v>
      </c>
      <c r="B7" s="5">
        <v>70.410635969700323</v>
      </c>
    </row>
    <row r="8" spans="1:2" x14ac:dyDescent="0.25">
      <c r="A8" s="5" t="s">
        <v>117</v>
      </c>
      <c r="B8" s="5">
        <v>4957.6576576576572</v>
      </c>
    </row>
    <row r="9" spans="1:2" x14ac:dyDescent="0.25">
      <c r="A9" s="5" t="s">
        <v>118</v>
      </c>
      <c r="B9" s="5">
        <v>1.963826230415298</v>
      </c>
    </row>
    <row r="10" spans="1:2" x14ac:dyDescent="0.25">
      <c r="A10" s="5" t="s">
        <v>119</v>
      </c>
      <c r="B10" s="5">
        <v>1.400354861850343</v>
      </c>
    </row>
    <row r="11" spans="1:2" x14ac:dyDescent="0.25">
      <c r="A11" s="5" t="s">
        <v>120</v>
      </c>
      <c r="B11" s="5">
        <v>315</v>
      </c>
    </row>
    <row r="12" spans="1:2" x14ac:dyDescent="0.25">
      <c r="A12" s="5" t="s">
        <v>121</v>
      </c>
      <c r="B12" s="5">
        <v>15</v>
      </c>
    </row>
    <row r="13" spans="1:2" x14ac:dyDescent="0.25">
      <c r="A13" s="5" t="s">
        <v>122</v>
      </c>
      <c r="B13" s="5">
        <v>330</v>
      </c>
    </row>
    <row r="14" spans="1:2" x14ac:dyDescent="0.25">
      <c r="A14" s="5" t="s">
        <v>123</v>
      </c>
      <c r="B14" s="5">
        <v>7400</v>
      </c>
    </row>
    <row r="15" spans="1:2" ht="15.75" thickBot="1" x14ac:dyDescent="0.3">
      <c r="A15" s="6" t="s">
        <v>109</v>
      </c>
      <c r="B15" s="6">
        <v>75</v>
      </c>
    </row>
    <row r="17" spans="11:11" x14ac:dyDescent="0.25">
      <c r="K1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</vt:i4>
      </vt:variant>
    </vt:vector>
  </HeadingPairs>
  <TitlesOfParts>
    <vt:vector size="7" baseType="lpstr">
      <vt:lpstr>Data Sets</vt:lpstr>
      <vt:lpstr>Sheet1</vt:lpstr>
      <vt:lpstr>Sheet2</vt:lpstr>
      <vt:lpstr>Sheet4</vt:lpstr>
      <vt:lpstr>Sheet7</vt:lpstr>
      <vt:lpstr>Sheet8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Brehm</dc:creator>
  <cp:lastModifiedBy>wade eckert</cp:lastModifiedBy>
  <dcterms:created xsi:type="dcterms:W3CDTF">2023-11-15T21:24:47Z</dcterms:created>
  <dcterms:modified xsi:type="dcterms:W3CDTF">2025-03-22T09:26:41Z</dcterms:modified>
</cp:coreProperties>
</file>